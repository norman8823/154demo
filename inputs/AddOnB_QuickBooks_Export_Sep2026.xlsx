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 and Loss" sheetId="1" state="visible" r:id="rId3"/>
    <sheet name="Rate Card" sheetId="2" state="visible" r:id="rId4"/>
    <sheet name="Payrol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<sst xmlns="http://schemas.openxmlformats.org/spreadsheetml/2006/main" count="105" uniqueCount="65">
  <si>
    <t xml:space="preserve">SYNTHETIC / ILLUSTRATIVE DATA. Fictional company. Not based on any real business. For demo and testing only.</t>
  </si>
  <si>
    <t xml:space="preserve">Example Crowd Management Co</t>
  </si>
  <si>
    <t xml:space="preserve">Profit and Loss</t>
  </si>
  <si>
    <t xml:space="preserve">June - September, 2026</t>
  </si>
  <si>
    <t xml:space="preserve">Cash Basis  Monday, October 13, 2026 09:42 AM GMT-04:00</t>
  </si>
  <si>
    <t xml:space="preserve">Jun 2026</t>
  </si>
  <si>
    <t xml:space="preserve">Jul 2026</t>
  </si>
  <si>
    <t xml:space="preserve">Aug 2026</t>
  </si>
  <si>
    <t xml:space="preserve">Sep 2026</t>
  </si>
  <si>
    <t xml:space="preserve">Total</t>
  </si>
  <si>
    <t xml:space="preserve">Income</t>
  </si>
  <si>
    <t xml:space="preserve">   Crowd Mgmt Income</t>
  </si>
  <si>
    <t xml:space="preserve">   Customer Deposits</t>
  </si>
  <si>
    <t xml:space="preserve">   Discounts Given</t>
  </si>
  <si>
    <t xml:space="preserve">   Event Services Income</t>
  </si>
  <si>
    <t xml:space="preserve">Total Income</t>
  </si>
  <si>
    <t xml:space="preserve">Cost of Goods Sold</t>
  </si>
  <si>
    <t xml:space="preserve">   Payroll Expenses</t>
  </si>
  <si>
    <t xml:space="preserve">      Wages - Field</t>
  </si>
  <si>
    <t xml:space="preserve">      Taxes</t>
  </si>
  <si>
    <t xml:space="preserve">   Total Payroll Expenses</t>
  </si>
  <si>
    <t xml:space="preserve">   Workers Comp Insurance</t>
  </si>
  <si>
    <t xml:space="preserve">Total Cost of Goods Sold</t>
  </si>
  <si>
    <t xml:space="preserve">Gross Profit</t>
  </si>
  <si>
    <t xml:space="preserve">Expenses</t>
  </si>
  <si>
    <t xml:space="preserve">   Ask My Accountant</t>
  </si>
  <si>
    <t xml:space="preserve">   Auto Expense</t>
  </si>
  <si>
    <t xml:space="preserve">   Bank Fees</t>
  </si>
  <si>
    <t xml:space="preserve">   Contract Labor</t>
  </si>
  <si>
    <t xml:space="preserve">   Insurance - General</t>
  </si>
  <si>
    <t xml:space="preserve">   Legal &amp; Professional</t>
  </si>
  <si>
    <t xml:space="preserve">   Meals &amp; Entertainment</t>
  </si>
  <si>
    <t xml:space="preserve">   Officer Compensation</t>
  </si>
  <si>
    <t xml:space="preserve">   Office Wages</t>
  </si>
  <si>
    <t xml:space="preserve">   Rent</t>
  </si>
  <si>
    <t xml:space="preserve">   Software Subscriptions</t>
  </si>
  <si>
    <t xml:space="preserve">   Uniforms</t>
  </si>
  <si>
    <t xml:space="preserve">Total Expenses</t>
  </si>
  <si>
    <t xml:space="preserve">Net Operating Income</t>
  </si>
  <si>
    <t xml:space="preserve">Other Expenses</t>
  </si>
  <si>
    <t xml:space="preserve">   Depreciation Expense</t>
  </si>
  <si>
    <t xml:space="preserve">Total Other Expenses</t>
  </si>
  <si>
    <t xml:space="preserve">Net Income</t>
  </si>
  <si>
    <t xml:space="preserve">Contract bill rates by venue and position ($/hr), effective Jan 1, 2026</t>
  </si>
  <si>
    <t xml:space="preserve">Venue</t>
  </si>
  <si>
    <t xml:space="preserve">Position</t>
  </si>
  <si>
    <t xml:space="preserve">Contract bill rate</t>
  </si>
  <si>
    <t xml:space="preserve">Contract pay rate (target)</t>
  </si>
  <si>
    <t xml:space="preserve">Notes</t>
  </si>
  <si>
    <t xml:space="preserve">Venue 21</t>
  </si>
  <si>
    <t xml:space="preserve">Security Guard</t>
  </si>
  <si>
    <t xml:space="preserve">Usher / Ticket Taker</t>
  </si>
  <si>
    <t xml:space="preserve">Parking Attendant</t>
  </si>
  <si>
    <t xml:space="preserve">Crowd Supervisor</t>
  </si>
  <si>
    <t xml:space="preserve">Venue 22</t>
  </si>
  <si>
    <t xml:space="preserve">Venue 23</t>
  </si>
  <si>
    <t xml:space="preserve">Venue 24</t>
  </si>
  <si>
    <t xml:space="preserve">Venue 04</t>
  </si>
  <si>
    <t xml:space="preserve">Shared venue with Platform A</t>
  </si>
  <si>
    <t xml:space="preserve">Payroll register summary, field employees (from payroll provider)</t>
  </si>
  <si>
    <t xml:space="preserve">Pay month</t>
  </si>
  <si>
    <t xml:space="preserve">Paid hours</t>
  </si>
  <si>
    <t xml:space="preserve">Gross wages</t>
  </si>
  <si>
    <t xml:space="preserve">Employer taxes</t>
  </si>
  <si>
    <t xml:space="preserve">Headcount paid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</si>
</sst>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-#,##0.00"/>
    <numFmt numFmtId="166" formatCode="\$#,##0.00"/>
    <numFmt numFmtId="167" formatCode="@"/>
    <numFmt numFmtId="168" formatCode="#,##0;\(#,##0\);\-"/>
    <numFmt numFmtId="169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4" t="s">
        <v>4</v>
      </c>
    </row>
    <row r="7" customFormat="false" ht="15" hidden="false" customHeight="false" outlineLevel="0" collapsed="false">
      <c r="A7" s="5"/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</row>
    <row r="8" customFormat="false" ht="15" hidden="false" customHeight="false" outlineLevel="0" collapsed="false">
      <c r="A8" s="3" t="s">
        <v>10</v>
      </c>
    </row>
    <row r="9" customFormat="false" ht="15" hidden="false" customHeight="false" outlineLevel="0" collapsed="false">
      <c r="A9" s="6" t="s">
        <v>11</v>
      </c>
      <c r="B9" s="7" t="n">
        <v>318700</v>
      </c>
      <c r="C9" s="7" t="n">
        <v>322100</v>
      </c>
      <c r="D9" s="7" t="n">
        <v>309800</v>
      </c>
      <c r="E9" s="7" t="n">
        <v>341600</v>
      </c>
      <c r="F9" s="8" t="n">
        <f aca="false">SUM(B9:E9)</f>
        <v>1292200</v>
      </c>
    </row>
    <row r="10" customFormat="false" ht="15" hidden="false" customHeight="false" outlineLevel="0" collapsed="false">
      <c r="A10" s="6" t="s">
        <v>12</v>
      </c>
      <c r="B10" s="7" t="n">
        <v>0</v>
      </c>
      <c r="C10" s="7" t="n">
        <v>0</v>
      </c>
      <c r="D10" s="7" t="n">
        <v>0</v>
      </c>
      <c r="E10" s="7" t="n">
        <v>95000</v>
      </c>
      <c r="F10" s="8" t="n">
        <f aca="false">SUM(B10:E10)</f>
        <v>95000</v>
      </c>
    </row>
    <row r="11" customFormat="false" ht="15" hidden="false" customHeight="false" outlineLevel="0" collapsed="false">
      <c r="A11" s="6" t="s">
        <v>13</v>
      </c>
      <c r="B11" s="7" t="n">
        <v>-6100</v>
      </c>
      <c r="C11" s="7" t="n">
        <v>-4800</v>
      </c>
      <c r="D11" s="7" t="n">
        <v>-7900</v>
      </c>
      <c r="E11" s="7" t="n">
        <v>-5200</v>
      </c>
      <c r="F11" s="8" t="n">
        <f aca="false">SUM(B11:E11)</f>
        <v>-24000</v>
      </c>
    </row>
    <row r="12" customFormat="false" ht="15" hidden="false" customHeight="false" outlineLevel="0" collapsed="false">
      <c r="A12" s="6" t="s">
        <v>14</v>
      </c>
      <c r="B12" s="7" t="n">
        <v>612400</v>
      </c>
      <c r="C12" s="7" t="n">
        <v>648900</v>
      </c>
      <c r="D12" s="7" t="n">
        <v>597300</v>
      </c>
      <c r="E12" s="7" t="n">
        <v>668200</v>
      </c>
      <c r="F12" s="8" t="n">
        <f aca="false">SUM(B12:E12)</f>
        <v>2526800</v>
      </c>
    </row>
    <row r="13" customFormat="false" ht="15" hidden="false" customHeight="false" outlineLevel="0" collapsed="false">
      <c r="A13" s="3" t="s">
        <v>15</v>
      </c>
      <c r="B13" s="9" t="n">
        <f aca="false">SUM(B9:B12)</f>
        <v>925000</v>
      </c>
      <c r="C13" s="9" t="n">
        <f aca="false">SUM(C9:C12)</f>
        <v>966200</v>
      </c>
      <c r="D13" s="9" t="n">
        <f aca="false">SUM(D9:D12)</f>
        <v>899200</v>
      </c>
      <c r="E13" s="9" t="n">
        <f aca="false">SUM(E9:E12)</f>
        <v>1099600</v>
      </c>
      <c r="F13" s="8" t="n">
        <f aca="false">SUM(B13:E13)</f>
        <v>3890000</v>
      </c>
    </row>
    <row r="14" customFormat="false" ht="15" hidden="false" customHeight="false" outlineLevel="0" collapsed="false">
      <c r="A14" s="3" t="s">
        <v>16</v>
      </c>
    </row>
    <row r="15" customFormat="false" ht="15" hidden="false" customHeight="false" outlineLevel="0" collapsed="false">
      <c r="A15" s="3" t="s">
        <v>17</v>
      </c>
    </row>
    <row r="16" customFormat="false" ht="15" hidden="false" customHeight="false" outlineLevel="0" collapsed="false">
      <c r="A16" s="6" t="s">
        <v>18</v>
      </c>
      <c r="B16" s="7" t="n">
        <v>507450</v>
      </c>
      <c r="C16" s="7" t="n">
        <v>529195</v>
      </c>
      <c r="D16" s="7" t="n">
        <v>494370</v>
      </c>
      <c r="E16" s="7" t="n">
        <v>550341</v>
      </c>
      <c r="F16" s="8" t="n">
        <f aca="false">SUM(B16:E16)</f>
        <v>2081356</v>
      </c>
    </row>
    <row r="17" customFormat="false" ht="15" hidden="false" customHeight="false" outlineLevel="0" collapsed="false">
      <c r="A17" s="6" t="s">
        <v>19</v>
      </c>
      <c r="B17" s="7" t="n">
        <v>49730</v>
      </c>
      <c r="C17" s="7" t="n">
        <v>51861</v>
      </c>
      <c r="D17" s="7" t="n">
        <v>48448</v>
      </c>
      <c r="E17" s="7" t="n">
        <v>53933</v>
      </c>
      <c r="F17" s="8" t="n">
        <f aca="false">SUM(B17:E17)</f>
        <v>203972</v>
      </c>
    </row>
    <row r="18" customFormat="false" ht="15" hidden="false" customHeight="false" outlineLevel="0" collapsed="false">
      <c r="A18" s="3" t="s">
        <v>20</v>
      </c>
      <c r="B18" s="9" t="n">
        <f aca="false">B16+B17</f>
        <v>557180</v>
      </c>
      <c r="C18" s="9" t="n">
        <f aca="false">C16+C17</f>
        <v>581056</v>
      </c>
      <c r="D18" s="9" t="n">
        <f aca="false">D16+D17</f>
        <v>542818</v>
      </c>
      <c r="E18" s="9" t="n">
        <f aca="false">E16+E17</f>
        <v>604274</v>
      </c>
      <c r="F18" s="8" t="n">
        <f aca="false">SUM(B18:E18)</f>
        <v>2285328</v>
      </c>
    </row>
    <row r="19" customFormat="false" ht="15" hidden="false" customHeight="false" outlineLevel="0" collapsed="false">
      <c r="A19" s="6" t="s">
        <v>21</v>
      </c>
      <c r="B19" s="7" t="n">
        <v>33492</v>
      </c>
      <c r="C19" s="7" t="n">
        <v>34927</v>
      </c>
      <c r="D19" s="7" t="n">
        <v>32628</v>
      </c>
      <c r="E19" s="7" t="n">
        <v>36323</v>
      </c>
      <c r="F19" s="8" t="n">
        <f aca="false">SUM(B19:E19)</f>
        <v>137370</v>
      </c>
    </row>
    <row r="20" customFormat="false" ht="15" hidden="false" customHeight="false" outlineLevel="0" collapsed="false">
      <c r="A20" s="3" t="s">
        <v>22</v>
      </c>
      <c r="B20" s="9" t="n">
        <f aca="false">B18+B19</f>
        <v>590672</v>
      </c>
      <c r="C20" s="9" t="n">
        <f aca="false">C18+C19</f>
        <v>615983</v>
      </c>
      <c r="D20" s="9" t="n">
        <f aca="false">D18+D19</f>
        <v>575446</v>
      </c>
      <c r="E20" s="9" t="n">
        <f aca="false">E18+E19</f>
        <v>640597</v>
      </c>
      <c r="F20" s="8" t="n">
        <f aca="false">SUM(B20:E20)</f>
        <v>2422698</v>
      </c>
    </row>
    <row r="21" customFormat="false" ht="15" hidden="false" customHeight="false" outlineLevel="0" collapsed="false">
      <c r="A21" s="3" t="s">
        <v>23</v>
      </c>
      <c r="B21" s="9" t="n">
        <f aca="false">B13-B20</f>
        <v>334328</v>
      </c>
      <c r="C21" s="9" t="n">
        <f aca="false">C13-C20</f>
        <v>350217</v>
      </c>
      <c r="D21" s="9" t="n">
        <f aca="false">D13-D20</f>
        <v>323754</v>
      </c>
      <c r="E21" s="9" t="n">
        <f aca="false">E13-E20</f>
        <v>459003</v>
      </c>
      <c r="F21" s="8" t="n">
        <f aca="false">SUM(B21:E21)</f>
        <v>1467302</v>
      </c>
    </row>
    <row r="22" customFormat="false" ht="15" hidden="false" customHeight="false" outlineLevel="0" collapsed="false">
      <c r="A22" s="3" t="s">
        <v>24</v>
      </c>
    </row>
    <row r="23" customFormat="false" ht="15" hidden="false" customHeight="false" outlineLevel="0" collapsed="false">
      <c r="A23" s="6" t="s">
        <v>25</v>
      </c>
      <c r="B23" s="7" t="n">
        <v>0</v>
      </c>
      <c r="C23" s="7" t="n">
        <v>0</v>
      </c>
      <c r="D23" s="7" t="n">
        <v>0</v>
      </c>
      <c r="E23" s="7" t="n">
        <v>12400</v>
      </c>
      <c r="F23" s="8" t="n">
        <f aca="false">SUM(B23:E23)</f>
        <v>12400</v>
      </c>
    </row>
    <row r="24" customFormat="false" ht="15" hidden="false" customHeight="false" outlineLevel="0" collapsed="false">
      <c r="A24" s="6" t="s">
        <v>26</v>
      </c>
      <c r="B24" s="7" t="n">
        <v>3180</v>
      </c>
      <c r="C24" s="7" t="n">
        <v>3240</v>
      </c>
      <c r="D24" s="7" t="n">
        <v>3150</v>
      </c>
      <c r="E24" s="7" t="n">
        <v>3310</v>
      </c>
      <c r="F24" s="8" t="n">
        <f aca="false">SUM(B24:E24)</f>
        <v>12880</v>
      </c>
    </row>
    <row r="25" customFormat="false" ht="15" hidden="false" customHeight="false" outlineLevel="0" collapsed="false">
      <c r="A25" s="6" t="s">
        <v>27</v>
      </c>
      <c r="B25" s="7" t="n">
        <v>1050</v>
      </c>
      <c r="C25" s="7" t="n">
        <v>1120</v>
      </c>
      <c r="D25" s="7" t="n">
        <v>980</v>
      </c>
      <c r="E25" s="7" t="n">
        <v>1140</v>
      </c>
      <c r="F25" s="8" t="n">
        <f aca="false">SUM(B25:E25)</f>
        <v>4290</v>
      </c>
    </row>
    <row r="26" customFormat="false" ht="15" hidden="false" customHeight="false" outlineLevel="0" collapsed="false">
      <c r="A26" s="6" t="s">
        <v>28</v>
      </c>
      <c r="B26" s="7" t="n">
        <v>44800</v>
      </c>
      <c r="C26" s="7" t="n">
        <v>51200</v>
      </c>
      <c r="D26" s="7" t="n">
        <v>58900</v>
      </c>
      <c r="E26" s="7" t="n">
        <v>69700</v>
      </c>
      <c r="F26" s="8" t="n">
        <f aca="false">SUM(B26:E26)</f>
        <v>224600</v>
      </c>
    </row>
    <row r="27" customFormat="false" ht="15" hidden="false" customHeight="false" outlineLevel="0" collapsed="false">
      <c r="A27" s="6" t="s">
        <v>29</v>
      </c>
      <c r="B27" s="7" t="n">
        <v>16200</v>
      </c>
      <c r="C27" s="7" t="n">
        <v>16200</v>
      </c>
      <c r="D27" s="7" t="n">
        <v>16200</v>
      </c>
      <c r="E27" s="7" t="n">
        <v>16200</v>
      </c>
      <c r="F27" s="8" t="n">
        <f aca="false">SUM(B27:E27)</f>
        <v>64800</v>
      </c>
    </row>
    <row r="28" customFormat="false" ht="15" hidden="false" customHeight="false" outlineLevel="0" collapsed="false">
      <c r="A28" s="6" t="s">
        <v>30</v>
      </c>
      <c r="B28" s="7" t="n">
        <v>85000</v>
      </c>
      <c r="C28" s="7" t="n">
        <v>6400</v>
      </c>
      <c r="D28" s="7" t="n">
        <v>3900</v>
      </c>
      <c r="E28" s="7" t="n">
        <v>4200</v>
      </c>
      <c r="F28" s="8" t="n">
        <f aca="false">SUM(B28:E28)</f>
        <v>99500</v>
      </c>
    </row>
    <row r="29" customFormat="false" ht="15" hidden="false" customHeight="false" outlineLevel="0" collapsed="false">
      <c r="A29" s="6" t="s">
        <v>31</v>
      </c>
      <c r="B29" s="7" t="n">
        <v>2050</v>
      </c>
      <c r="C29" s="7" t="n">
        <v>2380</v>
      </c>
      <c r="D29" s="7" t="n">
        <v>1920</v>
      </c>
      <c r="E29" s="7" t="n">
        <v>2210</v>
      </c>
      <c r="F29" s="8" t="n">
        <f aca="false">SUM(B29:E29)</f>
        <v>8560</v>
      </c>
    </row>
    <row r="30" customFormat="false" ht="15" hidden="false" customHeight="false" outlineLevel="0" collapsed="false">
      <c r="A30" s="6" t="s">
        <v>32</v>
      </c>
      <c r="B30" s="7" t="n">
        <v>38000</v>
      </c>
      <c r="C30" s="7" t="n">
        <v>38000</v>
      </c>
      <c r="D30" s="7" t="n">
        <v>38000</v>
      </c>
      <c r="E30" s="7" t="n">
        <v>38000</v>
      </c>
      <c r="F30" s="8" t="n">
        <f aca="false">SUM(B30:E30)</f>
        <v>152000</v>
      </c>
    </row>
    <row r="31" customFormat="false" ht="15" hidden="false" customHeight="false" outlineLevel="0" collapsed="false">
      <c r="A31" s="6" t="s">
        <v>33</v>
      </c>
      <c r="B31" s="7" t="n">
        <v>42300</v>
      </c>
      <c r="C31" s="7" t="n">
        <v>42300</v>
      </c>
      <c r="D31" s="7" t="n">
        <v>43100</v>
      </c>
      <c r="E31" s="7" t="n">
        <v>43100</v>
      </c>
      <c r="F31" s="8" t="n">
        <f aca="false">SUM(B31:E31)</f>
        <v>170800</v>
      </c>
    </row>
    <row r="32" customFormat="false" ht="15" hidden="false" customHeight="false" outlineLevel="0" collapsed="false">
      <c r="A32" s="6" t="s">
        <v>34</v>
      </c>
      <c r="B32" s="7" t="n">
        <v>14000</v>
      </c>
      <c r="C32" s="7" t="n">
        <v>14000</v>
      </c>
      <c r="D32" s="7" t="n">
        <v>14000</v>
      </c>
      <c r="E32" s="7" t="n">
        <v>14000</v>
      </c>
      <c r="F32" s="8" t="n">
        <f aca="false">SUM(B32:E32)</f>
        <v>56000</v>
      </c>
    </row>
    <row r="33" customFormat="false" ht="15" hidden="false" customHeight="false" outlineLevel="0" collapsed="false">
      <c r="A33" s="6" t="s">
        <v>35</v>
      </c>
      <c r="B33" s="7" t="n">
        <v>6100</v>
      </c>
      <c r="C33" s="7" t="n">
        <v>6100</v>
      </c>
      <c r="D33" s="7" t="n">
        <v>6400</v>
      </c>
      <c r="E33" s="7" t="n">
        <v>6400</v>
      </c>
      <c r="F33" s="8" t="n">
        <f aca="false">SUM(B33:E33)</f>
        <v>25000</v>
      </c>
    </row>
    <row r="34" customFormat="false" ht="15" hidden="false" customHeight="false" outlineLevel="0" collapsed="false">
      <c r="A34" s="6" t="s">
        <v>36</v>
      </c>
      <c r="B34" s="7" t="n">
        <v>7200</v>
      </c>
      <c r="C34" s="7" t="n">
        <v>6800</v>
      </c>
      <c r="D34" s="7" t="n">
        <v>7500</v>
      </c>
      <c r="E34" s="7" t="n">
        <v>9100</v>
      </c>
      <c r="F34" s="8" t="n">
        <f aca="false">SUM(B34:E34)</f>
        <v>30600</v>
      </c>
    </row>
    <row r="35" customFormat="false" ht="15" hidden="false" customHeight="false" outlineLevel="0" collapsed="false">
      <c r="A35" s="3" t="s">
        <v>37</v>
      </c>
      <c r="B35" s="9" t="n">
        <f aca="false">SUM(B23:B34)</f>
        <v>259880</v>
      </c>
      <c r="C35" s="9" t="n">
        <f aca="false">SUM(C23:C34)</f>
        <v>187740</v>
      </c>
      <c r="D35" s="9" t="n">
        <f aca="false">SUM(D23:D34)</f>
        <v>194050</v>
      </c>
      <c r="E35" s="9" t="n">
        <f aca="false">SUM(E23:E34)</f>
        <v>219760</v>
      </c>
      <c r="F35" s="8" t="n">
        <f aca="false">SUM(B35:E35)</f>
        <v>861430</v>
      </c>
    </row>
    <row r="36" customFormat="false" ht="15" hidden="false" customHeight="false" outlineLevel="0" collapsed="false">
      <c r="A36" s="3" t="s">
        <v>38</v>
      </c>
      <c r="B36" s="9" t="n">
        <f aca="false">B21-B35</f>
        <v>74448</v>
      </c>
      <c r="C36" s="9" t="n">
        <f aca="false">C21-C35</f>
        <v>162477</v>
      </c>
      <c r="D36" s="9" t="n">
        <f aca="false">D21-D35</f>
        <v>129704</v>
      </c>
      <c r="E36" s="9" t="n">
        <f aca="false">E21-E35</f>
        <v>239243</v>
      </c>
      <c r="F36" s="8" t="n">
        <f aca="false">SUM(B36:E36)</f>
        <v>605872</v>
      </c>
    </row>
    <row r="37" customFormat="false" ht="15" hidden="false" customHeight="false" outlineLevel="0" collapsed="false">
      <c r="A37" s="3" t="s">
        <v>39</v>
      </c>
    </row>
    <row r="38" customFormat="false" ht="15" hidden="false" customHeight="false" outlineLevel="0" collapsed="false">
      <c r="A38" s="6" t="s">
        <v>40</v>
      </c>
      <c r="B38" s="7" t="n">
        <v>9000</v>
      </c>
      <c r="C38" s="7" t="n">
        <v>9000</v>
      </c>
      <c r="D38" s="7" t="n">
        <v>9000</v>
      </c>
      <c r="E38" s="7" t="n">
        <v>9000</v>
      </c>
      <c r="F38" s="8" t="n">
        <f aca="false">SUM(B38:E38)</f>
        <v>36000</v>
      </c>
    </row>
    <row r="39" customFormat="false" ht="15" hidden="false" customHeight="false" outlineLevel="0" collapsed="false">
      <c r="A39" s="3" t="s">
        <v>41</v>
      </c>
      <c r="B39" s="9" t="n">
        <f aca="false">B38</f>
        <v>9000</v>
      </c>
      <c r="C39" s="9" t="n">
        <f aca="false">C38</f>
        <v>9000</v>
      </c>
      <c r="D39" s="9" t="n">
        <f aca="false">D38</f>
        <v>9000</v>
      </c>
      <c r="E39" s="9" t="n">
        <f aca="false">E38</f>
        <v>9000</v>
      </c>
      <c r="F39" s="8" t="n">
        <f aca="false">SUM(B39:E39)</f>
        <v>36000</v>
      </c>
    </row>
    <row r="40" customFormat="false" ht="15" hidden="false" customHeight="false" outlineLevel="0" collapsed="false">
      <c r="A40" s="3" t="s">
        <v>42</v>
      </c>
      <c r="B40" s="9" t="n">
        <f aca="false">B36-B39</f>
        <v>65448</v>
      </c>
      <c r="C40" s="9" t="n">
        <f aca="false">C36-C39</f>
        <v>153477</v>
      </c>
      <c r="D40" s="9" t="n">
        <f aca="false">D36-D39</f>
        <v>120704</v>
      </c>
      <c r="E40" s="9" t="n">
        <f aca="false">E36-E39</f>
        <v>230243</v>
      </c>
      <c r="F40" s="8" t="n">
        <f aca="false">SUM(B40:E40)</f>
        <v>569872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43</v>
      </c>
    </row>
    <row r="4" customFormat="false" ht="15" hidden="false" customHeight="false" outlineLevel="0" collapsed="false">
      <c r="A4" s="5" t="s">
        <v>44</v>
      </c>
      <c r="B4" s="5" t="s">
        <v>45</v>
      </c>
      <c r="C4" s="5" t="s">
        <v>46</v>
      </c>
      <c r="D4" s="5" t="s">
        <v>47</v>
      </c>
      <c r="E4" s="5" t="s">
        <v>48</v>
      </c>
    </row>
    <row r="5" customFormat="false" ht="15" hidden="false" customHeight="false" outlineLevel="0" collapsed="false">
      <c r="A5" s="6" t="s">
        <v>49</v>
      </c>
      <c r="B5" s="6" t="s">
        <v>50</v>
      </c>
      <c r="C5" s="10" t="n">
        <v>38.5</v>
      </c>
      <c r="D5" s="10" t="n">
        <v>21</v>
      </c>
      <c r="E5" s="6"/>
    </row>
    <row r="6" customFormat="false" ht="15" hidden="false" customHeight="false" outlineLevel="0" collapsed="false">
      <c r="A6" s="6" t="s">
        <v>49</v>
      </c>
      <c r="B6" s="6" t="s">
        <v>51</v>
      </c>
      <c r="C6" s="10" t="n">
        <v>32</v>
      </c>
      <c r="D6" s="10" t="n">
        <v>17.5</v>
      </c>
      <c r="E6" s="6"/>
    </row>
    <row r="7" customFormat="false" ht="15" hidden="false" customHeight="false" outlineLevel="0" collapsed="false">
      <c r="A7" s="6" t="s">
        <v>49</v>
      </c>
      <c r="B7" s="6" t="s">
        <v>52</v>
      </c>
      <c r="C7" s="10" t="n">
        <v>31</v>
      </c>
      <c r="D7" s="10" t="n">
        <v>17</v>
      </c>
      <c r="E7" s="6"/>
    </row>
    <row r="8" customFormat="false" ht="15" hidden="false" customHeight="false" outlineLevel="0" collapsed="false">
      <c r="A8" s="6" t="s">
        <v>49</v>
      </c>
      <c r="B8" s="6" t="s">
        <v>53</v>
      </c>
      <c r="C8" s="10" t="n">
        <v>46</v>
      </c>
      <c r="D8" s="10" t="n">
        <v>26</v>
      </c>
      <c r="E8" s="6"/>
    </row>
    <row r="9" customFormat="false" ht="15" hidden="false" customHeight="false" outlineLevel="0" collapsed="false">
      <c r="A9" s="6" t="s">
        <v>54</v>
      </c>
      <c r="B9" s="6" t="s">
        <v>50</v>
      </c>
      <c r="C9" s="10" t="n">
        <v>38.5</v>
      </c>
      <c r="D9" s="10" t="n">
        <v>21</v>
      </c>
      <c r="E9" s="6"/>
    </row>
    <row r="10" customFormat="false" ht="15" hidden="false" customHeight="false" outlineLevel="0" collapsed="false">
      <c r="A10" s="6" t="s">
        <v>54</v>
      </c>
      <c r="B10" s="6" t="s">
        <v>51</v>
      </c>
      <c r="C10" s="10" t="n">
        <v>32</v>
      </c>
      <c r="D10" s="10" t="n">
        <v>17.5</v>
      </c>
      <c r="E10" s="6"/>
    </row>
    <row r="11" customFormat="false" ht="15" hidden="false" customHeight="false" outlineLevel="0" collapsed="false">
      <c r="A11" s="6" t="s">
        <v>54</v>
      </c>
      <c r="B11" s="6" t="s">
        <v>52</v>
      </c>
      <c r="C11" s="10" t="n">
        <v>31</v>
      </c>
      <c r="D11" s="10" t="n">
        <v>17</v>
      </c>
      <c r="E11" s="6"/>
    </row>
    <row r="12" customFormat="false" ht="15" hidden="false" customHeight="false" outlineLevel="0" collapsed="false">
      <c r="A12" s="6" t="s">
        <v>54</v>
      </c>
      <c r="B12" s="6" t="s">
        <v>53</v>
      </c>
      <c r="C12" s="10" t="n">
        <v>46</v>
      </c>
      <c r="D12" s="10" t="n">
        <v>26</v>
      </c>
      <c r="E12" s="6"/>
    </row>
    <row r="13" customFormat="false" ht="15" hidden="false" customHeight="false" outlineLevel="0" collapsed="false">
      <c r="A13" s="6" t="s">
        <v>55</v>
      </c>
      <c r="B13" s="6" t="s">
        <v>50</v>
      </c>
      <c r="C13" s="10" t="n">
        <v>38.5</v>
      </c>
      <c r="D13" s="10" t="n">
        <v>21</v>
      </c>
      <c r="E13" s="6"/>
    </row>
    <row r="14" customFormat="false" ht="15" hidden="false" customHeight="false" outlineLevel="0" collapsed="false">
      <c r="A14" s="6" t="s">
        <v>55</v>
      </c>
      <c r="B14" s="6" t="s">
        <v>51</v>
      </c>
      <c r="C14" s="10" t="n">
        <v>32</v>
      </c>
      <c r="D14" s="10" t="n">
        <v>17.5</v>
      </c>
      <c r="E14" s="6"/>
    </row>
    <row r="15" customFormat="false" ht="15" hidden="false" customHeight="false" outlineLevel="0" collapsed="false">
      <c r="A15" s="6" t="s">
        <v>55</v>
      </c>
      <c r="B15" s="6" t="s">
        <v>52</v>
      </c>
      <c r="C15" s="10" t="n">
        <v>31</v>
      </c>
      <c r="D15" s="10" t="n">
        <v>17</v>
      </c>
      <c r="E15" s="6"/>
    </row>
    <row r="16" customFormat="false" ht="15" hidden="false" customHeight="false" outlineLevel="0" collapsed="false">
      <c r="A16" s="6" t="s">
        <v>55</v>
      </c>
      <c r="B16" s="6" t="s">
        <v>53</v>
      </c>
      <c r="C16" s="10" t="n">
        <v>46</v>
      </c>
      <c r="D16" s="10" t="n">
        <v>26</v>
      </c>
      <c r="E16" s="6"/>
    </row>
    <row r="17" customFormat="false" ht="15" hidden="false" customHeight="false" outlineLevel="0" collapsed="false">
      <c r="A17" s="6" t="s">
        <v>56</v>
      </c>
      <c r="B17" s="6" t="s">
        <v>50</v>
      </c>
      <c r="C17" s="10" t="n">
        <v>38.5</v>
      </c>
      <c r="D17" s="10" t="n">
        <v>21</v>
      </c>
      <c r="E17" s="6"/>
    </row>
    <row r="18" customFormat="false" ht="15" hidden="false" customHeight="false" outlineLevel="0" collapsed="false">
      <c r="A18" s="6" t="s">
        <v>56</v>
      </c>
      <c r="B18" s="6" t="s">
        <v>51</v>
      </c>
      <c r="C18" s="10" t="n">
        <v>32</v>
      </c>
      <c r="D18" s="10" t="n">
        <v>17.5</v>
      </c>
      <c r="E18" s="6"/>
    </row>
    <row r="19" customFormat="false" ht="15" hidden="false" customHeight="false" outlineLevel="0" collapsed="false">
      <c r="A19" s="6" t="s">
        <v>56</v>
      </c>
      <c r="B19" s="6" t="s">
        <v>52</v>
      </c>
      <c r="C19" s="10" t="n">
        <v>31</v>
      </c>
      <c r="D19" s="10" t="n">
        <v>17</v>
      </c>
      <c r="E19" s="6"/>
    </row>
    <row r="20" customFormat="false" ht="15" hidden="false" customHeight="false" outlineLevel="0" collapsed="false">
      <c r="A20" s="6" t="s">
        <v>56</v>
      </c>
      <c r="B20" s="6" t="s">
        <v>53</v>
      </c>
      <c r="C20" s="10" t="n">
        <v>46</v>
      </c>
      <c r="D20" s="10" t="n">
        <v>26</v>
      </c>
      <c r="E20" s="6"/>
    </row>
    <row r="21" customFormat="false" ht="15" hidden="false" customHeight="false" outlineLevel="0" collapsed="false">
      <c r="A21" s="6" t="s">
        <v>57</v>
      </c>
      <c r="B21" s="6" t="s">
        <v>50</v>
      </c>
      <c r="C21" s="10" t="n">
        <v>36.96</v>
      </c>
      <c r="D21" s="10" t="n">
        <v>21</v>
      </c>
      <c r="E21" s="6" t="s">
        <v>58</v>
      </c>
    </row>
    <row r="22" customFormat="false" ht="15" hidden="false" customHeight="false" outlineLevel="0" collapsed="false">
      <c r="A22" s="6" t="s">
        <v>57</v>
      </c>
      <c r="B22" s="6" t="s">
        <v>51</v>
      </c>
      <c r="C22" s="10" t="n">
        <v>30.72</v>
      </c>
      <c r="D22" s="10" t="n">
        <v>17.5</v>
      </c>
      <c r="E22" s="6" t="s">
        <v>58</v>
      </c>
    </row>
    <row r="23" customFormat="false" ht="15" hidden="false" customHeight="false" outlineLevel="0" collapsed="false">
      <c r="A23" s="6" t="s">
        <v>57</v>
      </c>
      <c r="B23" s="6" t="s">
        <v>52</v>
      </c>
      <c r="C23" s="10" t="n">
        <v>29.76</v>
      </c>
      <c r="D23" s="10" t="n">
        <v>17</v>
      </c>
      <c r="E23" s="6" t="s">
        <v>58</v>
      </c>
    </row>
    <row r="24" customFormat="false" ht="15" hidden="false" customHeight="false" outlineLevel="0" collapsed="false">
      <c r="A24" s="6" t="s">
        <v>57</v>
      </c>
      <c r="B24" s="6" t="s">
        <v>53</v>
      </c>
      <c r="C24" s="10" t="n">
        <v>44.16</v>
      </c>
      <c r="D24" s="10" t="n">
        <v>26</v>
      </c>
      <c r="E24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16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59</v>
      </c>
    </row>
    <row r="4" customFormat="false" ht="15" hidden="false" customHeight="false" outlineLevel="0" collapsed="false">
      <c r="A4" s="5" t="s">
        <v>60</v>
      </c>
      <c r="B4" s="5" t="s">
        <v>61</v>
      </c>
      <c r="C4" s="5" t="s">
        <v>62</v>
      </c>
      <c r="D4" s="5" t="s">
        <v>63</v>
      </c>
      <c r="E4" s="5" t="s">
        <v>64</v>
      </c>
    </row>
    <row r="5" customFormat="false" ht="15" hidden="false" customHeight="false" outlineLevel="0" collapsed="false">
      <c r="A5" s="11" t="s">
        <v>5</v>
      </c>
      <c r="B5" s="12" t="n">
        <v>32839</v>
      </c>
      <c r="C5" s="13" t="n">
        <v>619015</v>
      </c>
      <c r="D5" s="13" t="n">
        <v>60663</v>
      </c>
      <c r="E5" s="12" t="n">
        <v>1493</v>
      </c>
    </row>
    <row r="6" customFormat="false" ht="15" hidden="false" customHeight="false" outlineLevel="0" collapsed="false">
      <c r="A6" s="11" t="s">
        <v>6</v>
      </c>
      <c r="B6" s="12" t="n">
        <v>33855</v>
      </c>
      <c r="C6" s="13" t="n">
        <v>638167</v>
      </c>
      <c r="D6" s="13" t="n">
        <v>62540</v>
      </c>
      <c r="E6" s="12" t="n">
        <v>1539</v>
      </c>
    </row>
    <row r="7" customFormat="false" ht="15" hidden="false" customHeight="false" outlineLevel="0" collapsed="false">
      <c r="A7" s="11" t="s">
        <v>7</v>
      </c>
      <c r="B7" s="12" t="n">
        <v>32162</v>
      </c>
      <c r="C7" s="13" t="n">
        <v>606254</v>
      </c>
      <c r="D7" s="13" t="n">
        <v>59413</v>
      </c>
      <c r="E7" s="12" t="n">
        <v>1462</v>
      </c>
    </row>
    <row r="8" customFormat="false" ht="15" hidden="false" customHeight="false" outlineLevel="0" collapsed="false">
      <c r="A8" s="11" t="s">
        <v>8</v>
      </c>
      <c r="B8" s="12" t="n">
        <v>33855</v>
      </c>
      <c r="C8" s="13" t="n">
        <v>638167</v>
      </c>
      <c r="D8" s="13" t="n">
        <v>62540</v>
      </c>
      <c r="E8" s="12" t="n">
        <v>1539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2026-10-17T04:40:59Z</dcterms:created>
  <dc:creator>openpyxl</dc:creator>
  <dc:description/>
  <dc:language>en-US</dc:language>
  <cp:lastModifiedBy/>
  <dcterms:modified xsi:type="dcterms:W3CDTF">2026-10-17T04:40:59Z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