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over" sheetId="1" state="visible" r:id="rId3"/>
    <sheet name="CEO Letter" sheetId="2" state="visible" r:id="rId4"/>
    <sheet name="P&amp;L" sheetId="3" state="visible" r:id="rId5"/>
    <sheet name="P&amp;L Trend" sheetId="4" state="visible" r:id="rId6"/>
    <sheet name="Adj EBITDA Bridge" sheetId="5" state="visible" r:id="rId7"/>
    <sheet name="Balance Sheet" sheetId="6" state="visible" r:id="rId8"/>
    <sheet name="AR Aging" sheetId="7" state="visible" r:id="rId9"/>
    <sheet name="Operating KPIs" sheetId="8" state="visible" r:id="rId10"/>
    <sheet name="Revenue by Customer" sheetId="9" state="visible" r:id="rId11"/>
    <sheet name="Covenant" sheetId="10" state="visible" r:id="rId1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<sst xmlns="http://schemas.openxmlformats.org/spreadsheetml/2006/main" count="333" uniqueCount="229">
  <si>
    <t xml:space="preserve">SYNTHETIC / ILLUSTRATIVE DATA. Fictional company. Not based on any real business. For demo and testing only.</t>
  </si>
  <si>
    <t xml:space="preserve">Example Event Services Holdings ("Platform A")</t>
  </si>
  <si>
    <t xml:space="preserve">Monthly Reporting Package: September 2026</t>
  </si>
  <si>
    <t xml:space="preserve">Prepared by: Corporate Controller</t>
  </si>
  <si>
    <t xml:space="preserve">Sent to sponsor: October 20, 2026 (business day 14 after month-end)</t>
  </si>
  <si>
    <t xml:space="preserve">Basis: Accrual, unaudited, management accounts</t>
  </si>
  <si>
    <t xml:space="preserve">Scope: Platform A standalone. Add-on B (acquired June 1, 2026) reports separately until its systems migrate (planned Q1 2027).</t>
  </si>
  <si>
    <t xml:space="preserve">Contents</t>
  </si>
  <si>
    <t xml:space="preserve">1. CEO Letter</t>
  </si>
  <si>
    <t xml:space="preserve">2. Summary</t>
  </si>
  <si>
    <t xml:space="preserve">3. P&amp;L (month and YTD vs budget and prior year)</t>
  </si>
  <si>
    <t xml:space="preserve">4. P&amp;L Trend (trailing twelve months)</t>
  </si>
  <si>
    <t xml:space="preserve">5. Adjusted EBITDA bridge</t>
  </si>
  <si>
    <t xml:space="preserve">6. Balance Sheet</t>
  </si>
  <si>
    <t xml:space="preserve">7. AR Aging</t>
  </si>
  <si>
    <t xml:space="preserve">8. Operating KPIs</t>
  </si>
  <si>
    <t xml:space="preserve">9. Revenue by Customer</t>
  </si>
  <si>
    <t xml:space="preserve">10. Covenant Compliance</t>
  </si>
  <si>
    <t xml:space="preserve">September 2026 CEO Letter</t>
  </si>
  <si>
    <t xml:space="preserve">September was our strongest revenue month on record, driven by the start of the fall stadium season and two new convention center accounts.</t>
  </si>
  <si>
    <t xml:space="preserve">Fill rate improved to 97% as our recruiting investments paid off, and we held gross margin in line with plan despite continued wage pressure.</t>
  </si>
  <si>
    <t xml:space="preserve">Integration of Add-on B is complete, and we expect to begin realizing the $2.1M of run-rate synergies identified in diligence during Q4.</t>
  </si>
  <si>
    <t xml:space="preserve">We incurred one-time recruiting costs in August and September to staff the season, which are added back in Adjusted EBITDA.</t>
  </si>
  <si>
    <t xml:space="preserve">Diligence continues on Project Falcon, a potential second add-on in an adjacent market. Related professional fees are added back.</t>
  </si>
  <si>
    <t xml:space="preserve">We remain comfortably within our leverage covenant.</t>
  </si>
  <si>
    <t xml:space="preserve">CEO, Platform A</t>
  </si>
  <si>
    <t xml:space="preserve">Platform A: P&amp;L, September 2026 ($)</t>
  </si>
  <si>
    <t xml:space="preserve">Actuals link to P&amp;L Trend (green). Budget and prior year are hardcoded (blue).</t>
  </si>
  <si>
    <t xml:space="preserve">Line item</t>
  </si>
  <si>
    <t xml:space="preserve">Sep-26 Actual</t>
  </si>
  <si>
    <t xml:space="preserve">Sep-26 Budget</t>
  </si>
  <si>
    <t xml:space="preserve">Var $</t>
  </si>
  <si>
    <t xml:space="preserve">Var %</t>
  </si>
  <si>
    <t xml:space="preserve">Sep-25 Actual</t>
  </si>
  <si>
    <t xml:space="preserve">YTD Actual</t>
  </si>
  <si>
    <t xml:space="preserve">YTD Budget</t>
  </si>
  <si>
    <t xml:space="preserve">YTD Prior Year</t>
  </si>
  <si>
    <t xml:space="preserve">Revenue</t>
  </si>
  <si>
    <t xml:space="preserve">Event Staffing Revenue</t>
  </si>
  <si>
    <t xml:space="preserve">Security &amp; Patrol Revenue</t>
  </si>
  <si>
    <t xml:space="preserve">Other Revenue (Box Office, Convention)</t>
  </si>
  <si>
    <t xml:space="preserve">Total Revenue</t>
  </si>
  <si>
    <t xml:space="preserve">Direct Costs</t>
  </si>
  <si>
    <t xml:space="preserve">Direct Labor - Wages</t>
  </si>
  <si>
    <t xml:space="preserve">Payroll Taxes &amp; Benefits</t>
  </si>
  <si>
    <t xml:space="preserve">Workers' Compensation</t>
  </si>
  <si>
    <t xml:space="preserve">Subcontracted Labor</t>
  </si>
  <si>
    <t xml:space="preserve">Uniforms &amp; Equipment</t>
  </si>
  <si>
    <t xml:space="preserve">Event Travel &amp; Transport</t>
  </si>
  <si>
    <t xml:space="preserve">Total Direct Costs</t>
  </si>
  <si>
    <t xml:space="preserve">Gross Profit</t>
  </si>
  <si>
    <t xml:space="preserve">Gross Margin %</t>
  </si>
  <si>
    <t xml:space="preserve">SG&amp;A</t>
  </si>
  <si>
    <t xml:space="preserve">Salaries - Admin &amp; Management</t>
  </si>
  <si>
    <t xml:space="preserve">Recruiting &amp; Onboarding</t>
  </si>
  <si>
    <t xml:space="preserve">Rent &amp; Occupancy</t>
  </si>
  <si>
    <t xml:space="preserve">Insurance (GL / Umbrella)</t>
  </si>
  <si>
    <t xml:space="preserve">Software &amp; IT</t>
  </si>
  <si>
    <t xml:space="preserve">Professional Fees</t>
  </si>
  <si>
    <t xml:space="preserve">Travel &amp; Entertainment</t>
  </si>
  <si>
    <t xml:space="preserve">Marketing</t>
  </si>
  <si>
    <t xml:space="preserve">Sponsor Monitoring Fee</t>
  </si>
  <si>
    <t xml:space="preserve">Other G&amp;A</t>
  </si>
  <si>
    <t xml:space="preserve">Total SG&amp;A</t>
  </si>
  <si>
    <t xml:space="preserve">EBITDA (reported)</t>
  </si>
  <si>
    <t xml:space="preserve">EBITDA Margin %</t>
  </si>
  <si>
    <t xml:space="preserve">Platform A: P&amp;L by month, trailing twelve months ($)</t>
  </si>
  <si>
    <t xml:space="preserve">Oct-25</t>
  </si>
  <si>
    <t xml:space="preserve">Nov-25</t>
  </si>
  <si>
    <t xml:space="preserve">Dec-25</t>
  </si>
  <si>
    <t xml:space="preserve">Jan-26</t>
  </si>
  <si>
    <t xml:space="preserve">Feb-26</t>
  </si>
  <si>
    <t xml:space="preserve">Mar-26</t>
  </si>
  <si>
    <t xml:space="preserve">Apr-26</t>
  </si>
  <si>
    <t xml:space="preserve">May-26</t>
  </si>
  <si>
    <t xml:space="preserve">Jun-26</t>
  </si>
  <si>
    <t xml:space="preserve">Jul-26</t>
  </si>
  <si>
    <t xml:space="preserve">Aug-26</t>
  </si>
  <si>
    <t xml:space="preserve">Sep-26</t>
  </si>
  <si>
    <t xml:space="preserve">LTM</t>
  </si>
  <si>
    <t xml:space="preserve">Below EBITDA</t>
  </si>
  <si>
    <t xml:space="preserve">Depreciation &amp; Amortization</t>
  </si>
  <si>
    <t xml:space="preserve">Interest Expense</t>
  </si>
  <si>
    <t xml:space="preserve">Pre-tax Income</t>
  </si>
  <si>
    <t xml:space="preserve">Platform A: Reported to Adjusted EBITDA, trailing twelve months ($)</t>
  </si>
  <si>
    <t xml:space="preserve">Item</t>
  </si>
  <si>
    <t xml:space="preserve">Management description</t>
  </si>
  <si>
    <t xml:space="preserve">  + Sponsor monitoring fee</t>
  </si>
  <si>
    <t xml:space="preserve">Contractual fee to sponsor; non-operating</t>
  </si>
  <si>
    <t xml:space="preserve">  + Transaction costs</t>
  </si>
  <si>
    <t xml:space="preserve">Jun: Add-on B closing. Sep: Project Falcon diligence</t>
  </si>
  <si>
    <t xml:space="preserve">  + Integration costs</t>
  </si>
  <si>
    <t xml:space="preserve">One-time costs to integrate Add-on B</t>
  </si>
  <si>
    <t xml:space="preserve">  + Severance</t>
  </si>
  <si>
    <t xml:space="preserve">Regional manager departure</t>
  </si>
  <si>
    <t xml:space="preserve">  + Non-recurring recruiting</t>
  </si>
  <si>
    <t xml:space="preserve">Season staffing push, not expected to recur</t>
  </si>
  <si>
    <t xml:space="preserve">Adjusted EBITDA</t>
  </si>
  <si>
    <t xml:space="preserve">Platform A: Balance Sheet ($)</t>
  </si>
  <si>
    <t xml:space="preserve">Assets</t>
  </si>
  <si>
    <t xml:space="preserve">Cash</t>
  </si>
  <si>
    <t xml:space="preserve">Accounts Receivable, net</t>
  </si>
  <si>
    <t xml:space="preserve">Unbilled Receivables</t>
  </si>
  <si>
    <t xml:space="preserve">Prepaid Expenses</t>
  </si>
  <si>
    <t xml:space="preserve">Property &amp; Equipment, net</t>
  </si>
  <si>
    <t xml:space="preserve">Goodwill &amp; Intangibles</t>
  </si>
  <si>
    <t xml:space="preserve">Total Assets</t>
  </si>
  <si>
    <t xml:space="preserve">Liabilities</t>
  </si>
  <si>
    <t xml:space="preserve">Accounts Payable</t>
  </si>
  <si>
    <t xml:space="preserve">Accrued Payroll</t>
  </si>
  <si>
    <t xml:space="preserve">Accrued Expenses</t>
  </si>
  <si>
    <t xml:space="preserve">Revolver</t>
  </si>
  <si>
    <t xml:space="preserve">Term Loan (incl. current portion)</t>
  </si>
  <si>
    <t xml:space="preserve">Total Liabilities</t>
  </si>
  <si>
    <t xml:space="preserve">Total Equity</t>
  </si>
  <si>
    <t xml:space="preserve">Check (should be zero)</t>
  </si>
  <si>
    <t xml:space="preserve">Platform A: AR Aging as of September 30, 2026 ($)</t>
  </si>
  <si>
    <t xml:space="preserve">Customer</t>
  </si>
  <si>
    <t xml:space="preserve">Current</t>
  </si>
  <si>
    <t xml:space="preserve">31-60</t>
  </si>
  <si>
    <t xml:space="preserve">61-90</t>
  </si>
  <si>
    <t xml:space="preserve">90+</t>
  </si>
  <si>
    <t xml:space="preserve">Total</t>
  </si>
  <si>
    <t xml:space="preserve">% of Total</t>
  </si>
  <si>
    <t xml:space="preserve">Venue 01 (stadium)</t>
  </si>
  <si>
    <t xml:space="preserve">Venue 02 (arena)</t>
  </si>
  <si>
    <t xml:space="preserve">Venue 03 (convention center)</t>
  </si>
  <si>
    <t xml:space="preserve">Venue 04 (amphitheater)</t>
  </si>
  <si>
    <t xml:space="preserve">Venue 05 (stadium)</t>
  </si>
  <si>
    <t xml:space="preserve">Venue 06 (fairgrounds)</t>
  </si>
  <si>
    <t xml:space="preserve">Venue 07 (arena)</t>
  </si>
  <si>
    <t xml:space="preserve">Venue 08 (convention center)</t>
  </si>
  <si>
    <t xml:space="preserve">Venue 09 (festival promoter)</t>
  </si>
  <si>
    <t xml:space="preserve">Venue 10 (university athletics)</t>
  </si>
  <si>
    <t xml:space="preserve">Patrol accounts (commercial)</t>
  </si>
  <si>
    <t xml:space="preserve">All other customers</t>
  </si>
  <si>
    <t xml:space="preserve">% of total</t>
  </si>
  <si>
    <t xml:space="preserve">Platform A: Operating KPIs, Event Staffing segment only (patrol excluded)</t>
  </si>
  <si>
    <t xml:space="preserve">KPI</t>
  </si>
  <si>
    <t xml:space="preserve">Definition</t>
  </si>
  <si>
    <t xml:space="preserve">Events worked</t>
  </si>
  <si>
    <t xml:space="preserve">Distinct events with at least one shift</t>
  </si>
  <si>
    <t xml:space="preserve">Shifts requested</t>
  </si>
  <si>
    <t xml:space="preserve">Shifts ordered by clients</t>
  </si>
  <si>
    <t xml:space="preserve">Shifts filled</t>
  </si>
  <si>
    <t xml:space="preserve">Shifts with a checked-in worker</t>
  </si>
  <si>
    <t xml:space="preserve">Fill rate</t>
  </si>
  <si>
    <t xml:space="preserve">Shifts filled / shifts requested</t>
  </si>
  <si>
    <t xml:space="preserve">No-show rate</t>
  </si>
  <si>
    <t xml:space="preserve">Scheduled workers who did not check in</t>
  </si>
  <si>
    <t xml:space="preserve">Billed hours</t>
  </si>
  <si>
    <t xml:space="preserve">Hours invoiced to clients</t>
  </si>
  <si>
    <t xml:space="preserve">Paid hours</t>
  </si>
  <si>
    <t xml:space="preserve">Hours paid through payroll</t>
  </si>
  <si>
    <t xml:space="preserve">Paid / billed ratio</t>
  </si>
  <si>
    <t xml:space="preserve">Paid hours / billed hours; &gt;1 means unbillable time</t>
  </si>
  <si>
    <t xml:space="preserve">Average bill rate ($/hr)</t>
  </si>
  <si>
    <t xml:space="preserve">Blended rate charged to clients</t>
  </si>
  <si>
    <t xml:space="preserve">Average pay rate ($/hr)</t>
  </si>
  <si>
    <t xml:space="preserve">Blended base wage</t>
  </si>
  <si>
    <t xml:space="preserve">Spread ($/hr)</t>
  </si>
  <si>
    <t xml:space="preserve">Bill rate minus pay rate, before burden</t>
  </si>
  <si>
    <t xml:space="preserve">Overtime % of paid hours</t>
  </si>
  <si>
    <t xml:space="preserve">OT hours / paid hours</t>
  </si>
  <si>
    <t xml:space="preserve">Active workforce (headcount)</t>
  </si>
  <si>
    <t xml:space="preserve">Workers with a shift in the month</t>
  </si>
  <si>
    <t xml:space="preserve">New hires</t>
  </si>
  <si>
    <t xml:space="preserve">Workers onboarded</t>
  </si>
  <si>
    <t xml:space="preserve">Terminations</t>
  </si>
  <si>
    <t xml:space="preserve">Workers separated</t>
  </si>
  <si>
    <t xml:space="preserve">Annualized turnover</t>
  </si>
  <si>
    <t xml:space="preserve">Terminations x 12 / active workforce</t>
  </si>
  <si>
    <t xml:space="preserve">Reconciliation to P&amp;L</t>
  </si>
  <si>
    <t xml:space="preserve">Implied staffing revenue (billed hrs x bill rate)</t>
  </si>
  <si>
    <t xml:space="preserve">KPI-derived revenue</t>
  </si>
  <si>
    <t xml:space="preserve">Reported Event Staffing Revenue</t>
  </si>
  <si>
    <t xml:space="preserve">From P&amp;L Trend</t>
  </si>
  <si>
    <t xml:space="preserve">Difference %</t>
  </si>
  <si>
    <t xml:space="preserve">Should be within +/- 1%</t>
  </si>
  <si>
    <t xml:space="preserve">Platform A: LTM revenue by customer (Oct-25 to Sep-26)</t>
  </si>
  <si>
    <t xml:space="preserve">LTM Revenue ($)</t>
  </si>
  <si>
    <t xml:space="preserve">Contract type</t>
  </si>
  <si>
    <t xml:space="preserve">Contract expiry</t>
  </si>
  <si>
    <t xml:space="preserve">Rate escalator</t>
  </si>
  <si>
    <t xml:space="preserve">Notes</t>
  </si>
  <si>
    <t xml:space="preserve">Multi-year rate card</t>
  </si>
  <si>
    <t xml:space="preserve">Mar-2027</t>
  </si>
  <si>
    <t xml:space="preserve">3% annual</t>
  </si>
  <si>
    <t xml:space="preserve">Renewal RFP expected Q1 2027</t>
  </si>
  <si>
    <t xml:space="preserve">Dec-2028</t>
  </si>
  <si>
    <t xml:space="preserve">CPI</t>
  </si>
  <si>
    <t xml:space="preserve">Annual</t>
  </si>
  <si>
    <t xml:space="preserve">Jun-2027</t>
  </si>
  <si>
    <t xml:space="preserve">None</t>
  </si>
  <si>
    <t xml:space="preserve">Added Jul-2026</t>
  </si>
  <si>
    <t xml:space="preserve">Seasonal</t>
  </si>
  <si>
    <t xml:space="preserve">Oct-2026</t>
  </si>
  <si>
    <t xml:space="preserve">Season contract ends this month</t>
  </si>
  <si>
    <t xml:space="preserve">Feb-2029</t>
  </si>
  <si>
    <t xml:space="preserve">Event-by-event</t>
  </si>
  <si>
    <t xml:space="preserve">n/a</t>
  </si>
  <si>
    <t xml:space="preserve">Aug-2027</t>
  </si>
  <si>
    <t xml:space="preserve">2.5% annual</t>
  </si>
  <si>
    <t xml:space="preserve">Jan-2027</t>
  </si>
  <si>
    <t xml:space="preserve">Jun-2028</t>
  </si>
  <si>
    <t xml:space="preserve">Monthly service agreements</t>
  </si>
  <si>
    <t xml:space="preserve">Various</t>
  </si>
  <si>
    <t xml:space="preserve">Platform A: Covenant Compliance Certificate, quarter ended September 30, 2026</t>
  </si>
  <si>
    <t xml:space="preserve">Value</t>
  </si>
  <si>
    <t xml:space="preserve">Source / note</t>
  </si>
  <si>
    <t xml:space="preserve">LTM Adjusted EBITDA (Platform A)</t>
  </si>
  <si>
    <t xml:space="preserve">From Adjusted EBITDA bridge</t>
  </si>
  <si>
    <t xml:space="preserve">Pro forma Add-on B EBITDA, pre-acquisition period (Oct-25 to May-26)</t>
  </si>
  <si>
    <t xml:space="preserve">Per sell-side QoE</t>
  </si>
  <si>
    <t xml:space="preserve">Add-on B EBITDA, post-acquisition (Jun-26 to Sep-26)</t>
  </si>
  <si>
    <t xml:space="preserve">Per Add-on B management accounts</t>
  </si>
  <si>
    <t xml:space="preserve">Run-rate cost synergies</t>
  </si>
  <si>
    <t xml:space="preserve">Identified in diligence</t>
  </si>
  <si>
    <t xml:space="preserve">Covenant EBITDA (as reported)</t>
  </si>
  <si>
    <t xml:space="preserve">Term loan</t>
  </si>
  <si>
    <t xml:space="preserve">Less: cash</t>
  </si>
  <si>
    <t xml:space="preserve">Net debt</t>
  </si>
  <si>
    <t xml:space="preserve">Net leverage (as reported)</t>
  </si>
  <si>
    <t xml:space="preserve">Maximum permitted</t>
  </si>
  <si>
    <t xml:space="preserve">Steps down to 4.50x at Mar-27 test date</t>
  </si>
  <si>
    <t xml:space="preserve">Headroom</t>
  </si>
  <si>
    <t xml:space="preserve">Credit agreement terms (excerpt)</t>
  </si>
  <si>
    <t xml:space="preserve">Synergy add-back cap, % of covenant EBITDA before synergies</t>
  </si>
  <si>
    <t xml:space="preserve">Synergies must be realizable within 12 months</t>
  </si>
</sst>
</file>

<file path=xl/styles.xml><?xml version="1.0" encoding="utf-8"?>
<styleSheet xmlns="http://schemas.openxmlformats.org/spreadsheetml/2006/main">
  <numFmts count="7">
    <numFmt numFmtId="164" formatCode="General"/>
    <numFmt numFmtId="165" formatCode="\$#,##0;&quot;($&quot;#,##0\);\-"/>
    <numFmt numFmtId="166" formatCode="0.0%;\(0.0%\);\-"/>
    <numFmt numFmtId="167" formatCode="#,##0;\(#,##0\);\-"/>
    <numFmt numFmtId="168" formatCode="0.000"/>
    <numFmt numFmtId="169" formatCode="\$#,##0.00"/>
    <numFmt numFmtId="170" formatCode="0.00\x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C00000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i val="true"/>
      <sz val="9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color rgb="FF008000"/>
      <name val="Arial"/>
      <family val="0"/>
      <charset val="1"/>
    </font>
    <font>
      <sz val="10"/>
      <color rgb="FF0000FF"/>
      <name val="Arial"/>
      <family val="0"/>
      <charset val="1"/>
    </font>
    <font>
      <b val="true"/>
      <sz val="10"/>
      <color rgb="FF0000FF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FFF2CC"/>
        <bgColor rgb="FFFFFFFF"/>
      </patternFill>
    </fill>
    <fill>
      <patternFill patternType="solid">
        <fgColor rgb="FF1F3864"/>
        <bgColor rgb="FF333333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 style="thin"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3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5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0"/>
  </cols>
  <sheetData>
    <row r="1" customFormat="false" ht="15" hidden="false" customHeight="false" outlineLevel="0" collapsed="false">
      <c r="A1" s="1" t="s">
        <v>0</v>
      </c>
      <c r="B1" s="2"/>
      <c r="C1" s="2"/>
      <c r="D1" s="2"/>
      <c r="E1" s="2"/>
      <c r="F1" s="2"/>
    </row>
    <row r="3" customFormat="false" ht="15" hidden="false" customHeight="false" outlineLevel="0" collapsed="false">
      <c r="A3" s="3" t="s">
        <v>1</v>
      </c>
    </row>
    <row r="4" customFormat="false" ht="15" hidden="false" customHeight="false" outlineLevel="0" collapsed="false">
      <c r="A4" s="3" t="s">
        <v>2</v>
      </c>
    </row>
    <row r="5" customFormat="false" ht="15" hidden="false" customHeight="false" outlineLevel="0" collapsed="false">
      <c r="A5" s="4" t="s">
        <v>3</v>
      </c>
    </row>
    <row r="6" customFormat="false" ht="15" hidden="false" customHeight="false" outlineLevel="0" collapsed="false">
      <c r="A6" s="4" t="s">
        <v>4</v>
      </c>
    </row>
    <row r="7" customFormat="false" ht="15" hidden="false" customHeight="false" outlineLevel="0" collapsed="false">
      <c r="A7" s="4" t="s">
        <v>5</v>
      </c>
    </row>
    <row r="8" customFormat="false" ht="15" hidden="false" customHeight="false" outlineLevel="0" collapsed="false">
      <c r="A8" s="4" t="s">
        <v>6</v>
      </c>
    </row>
    <row r="9" customFormat="false" ht="15" hidden="false" customHeight="false" outlineLevel="0" collapsed="false">
      <c r="A9" s="4"/>
    </row>
    <row r="10" customFormat="false" ht="15" hidden="false" customHeight="false" outlineLevel="0" collapsed="false">
      <c r="A10" s="3" t="s">
        <v>7</v>
      </c>
    </row>
    <row r="11" customFormat="false" ht="15" hidden="false" customHeight="false" outlineLevel="0" collapsed="false">
      <c r="A11" s="4" t="s">
        <v>8</v>
      </c>
    </row>
    <row r="12" customFormat="false" ht="15" hidden="false" customHeight="false" outlineLevel="0" collapsed="false">
      <c r="A12" s="4" t="s">
        <v>9</v>
      </c>
    </row>
    <row r="13" customFormat="false" ht="15" hidden="false" customHeight="false" outlineLevel="0" collapsed="false">
      <c r="A13" s="4" t="s">
        <v>10</v>
      </c>
    </row>
    <row r="14" customFormat="false" ht="15" hidden="false" customHeight="false" outlineLevel="0" collapsed="false">
      <c r="A14" s="4" t="s">
        <v>11</v>
      </c>
    </row>
    <row r="15" customFormat="false" ht="15" hidden="false" customHeight="false" outlineLevel="0" collapsed="false">
      <c r="A15" s="4" t="s">
        <v>12</v>
      </c>
    </row>
    <row r="16" customFormat="false" ht="15" hidden="false" customHeight="false" outlineLevel="0" collapsed="false">
      <c r="A16" s="4" t="s">
        <v>13</v>
      </c>
    </row>
    <row r="17" customFormat="false" ht="15" hidden="false" customHeight="false" outlineLevel="0" collapsed="false">
      <c r="A17" s="4" t="s">
        <v>14</v>
      </c>
    </row>
    <row r="18" customFormat="false" ht="15" hidden="false" customHeight="false" outlineLevel="0" collapsed="false">
      <c r="A18" s="4" t="s">
        <v>15</v>
      </c>
    </row>
    <row r="19" customFormat="false" ht="15" hidden="false" customHeight="false" outlineLevel="0" collapsed="false">
      <c r="A19" s="4" t="s">
        <v>16</v>
      </c>
    </row>
    <row r="20" customFormat="false" ht="15" hidden="false" customHeight="false" outlineLevel="0" collapsed="false">
      <c r="A20" s="4" t="s">
        <v>17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0"/>
  </cols>
  <sheetData>
    <row r="1" customFormat="false" ht="15" hidden="false" customHeight="false" outlineLevel="0" collapsed="false">
      <c r="A1" s="1" t="s">
        <v>0</v>
      </c>
      <c r="B1" s="2"/>
    </row>
    <row r="3" customFormat="false" ht="15" hidden="false" customHeight="false" outlineLevel="0" collapsed="false">
      <c r="A3" s="3" t="s">
        <v>18</v>
      </c>
    </row>
    <row r="4" customFormat="false" ht="15" hidden="false" customHeight="false" outlineLevel="0" collapsed="false">
      <c r="A4" s="4"/>
    </row>
    <row r="5" customFormat="false" ht="15" hidden="false" customHeight="false" outlineLevel="0" collapsed="false">
      <c r="A5" s="4" t="s">
        <v>19</v>
      </c>
    </row>
    <row r="6" customFormat="false" ht="15" hidden="false" customHeight="false" outlineLevel="0" collapsed="false">
      <c r="A6" s="4" t="s">
        <v>20</v>
      </c>
    </row>
    <row r="7" customFormat="false" ht="15" hidden="false" customHeight="false" outlineLevel="0" collapsed="false">
      <c r="A7" s="4" t="s">
        <v>21</v>
      </c>
    </row>
    <row r="8" customFormat="false" ht="15" hidden="false" customHeight="false" outlineLevel="0" collapsed="false">
      <c r="A8" s="4" t="s">
        <v>22</v>
      </c>
    </row>
    <row r="9" customFormat="false" ht="15" hidden="false" customHeight="false" outlineLevel="0" collapsed="false">
      <c r="A9" s="4" t="s">
        <v>23</v>
      </c>
    </row>
    <row r="10" customFormat="false" ht="15" hidden="false" customHeight="false" outlineLevel="0" collapsed="false">
      <c r="A10" s="4" t="s">
        <v>24</v>
      </c>
    </row>
    <row r="11" customFormat="false" ht="15" hidden="false" customHeight="false" outlineLevel="0" collapsed="false">
      <c r="A11" s="4"/>
    </row>
    <row r="12" customFormat="false" ht="15" hidden="false" customHeight="false" outlineLevel="0" collapsed="false">
      <c r="A12" s="4" t="s">
        <v>25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3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5" topLeftCell="B6" activePane="bottomRight" state="frozen"/>
      <selection pane="topLeft" activeCell="A1" activeCellId="0" sqref="A1"/>
      <selection pane="topRight" activeCell="B1" activeCellId="0" sqref="B1"/>
      <selection pane="bottomLeft" activeCell="A6" activeCellId="0" sqref="A6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0"/>
    <col collapsed="false" customWidth="true" hidden="false" outlineLevel="0" max="3" min="2" style="0" width="13"/>
    <col collapsed="false" customWidth="true" hidden="false" outlineLevel="0" max="4" min="4" style="0" width="12"/>
    <col collapsed="false" customWidth="true" hidden="false" outlineLevel="0" max="5" min="5" style="0" width="9"/>
    <col collapsed="false" customWidth="true" hidden="false" outlineLevel="0" max="6" min="6" style="0" width="13"/>
    <col collapsed="false" customWidth="true" hidden="false" outlineLevel="0" max="8" min="7" style="0" width="14"/>
    <col collapsed="false" customWidth="true" hidden="false" outlineLevel="0" max="9" min="9" style="0" width="12"/>
    <col collapsed="false" customWidth="true" hidden="false" outlineLevel="0" max="10" min="10" style="0" width="9"/>
    <col collapsed="false" customWidth="true" hidden="false" outlineLevel="0" max="11" min="11" style="0" width="14"/>
  </cols>
  <sheetData>
    <row r="1" customFormat="false" ht="15" hidden="false" customHeight="false" outlineLevel="0" collapsed="false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</row>
    <row r="2" customFormat="false" ht="15" hidden="false" customHeight="false" outlineLevel="0" collapsed="false">
      <c r="A2" s="3" t="s">
        <v>26</v>
      </c>
    </row>
    <row r="3" customFormat="false" ht="15" hidden="false" customHeight="false" outlineLevel="0" collapsed="false">
      <c r="A3" s="5" t="s">
        <v>27</v>
      </c>
    </row>
    <row r="5" customFormat="false" ht="23.85" hidden="false" customHeight="false" outlineLevel="0" collapsed="false">
      <c r="A5" s="6" t="s">
        <v>28</v>
      </c>
      <c r="B5" s="6" t="s">
        <v>29</v>
      </c>
      <c r="C5" s="6" t="s">
        <v>30</v>
      </c>
      <c r="D5" s="6" t="s">
        <v>31</v>
      </c>
      <c r="E5" s="6" t="s">
        <v>32</v>
      </c>
      <c r="F5" s="6" t="s">
        <v>33</v>
      </c>
      <c r="G5" s="6" t="s">
        <v>34</v>
      </c>
      <c r="H5" s="6" t="s">
        <v>35</v>
      </c>
      <c r="I5" s="6" t="s">
        <v>31</v>
      </c>
      <c r="J5" s="6" t="s">
        <v>32</v>
      </c>
      <c r="K5" s="6" t="s">
        <v>36</v>
      </c>
    </row>
    <row r="6" customFormat="false" ht="15" hidden="false" customHeight="false" outlineLevel="0" collapsed="false">
      <c r="A6" s="3" t="s">
        <v>37</v>
      </c>
    </row>
    <row r="7" customFormat="false" ht="15" hidden="false" customHeight="false" outlineLevel="0" collapsed="false">
      <c r="A7" s="4" t="s">
        <v>38</v>
      </c>
      <c r="B7" s="7" t="n">
        <f aca="false">'P&amp;L Trend'!M6</f>
        <v>4513673</v>
      </c>
      <c r="C7" s="8" t="n">
        <v>4620000</v>
      </c>
      <c r="D7" s="9" t="n">
        <f aca="false">B7-C7</f>
        <v>-106327</v>
      </c>
      <c r="E7" s="10" t="n">
        <f aca="false">IF(C7=0,0,D7/ABS(C7))</f>
        <v>-0.0230145021645022</v>
      </c>
      <c r="F7" s="8" t="n">
        <v>4126596</v>
      </c>
      <c r="G7" s="7" t="n">
        <f aca="false">SUM('P&amp;L Trend'!E6:M6)</f>
        <v>34140161</v>
      </c>
      <c r="H7" s="8" t="n">
        <v>34611500</v>
      </c>
      <c r="I7" s="9" t="n">
        <f aca="false">G7-H7</f>
        <v>-471339</v>
      </c>
      <c r="J7" s="10" t="n">
        <f aca="false">IF(H7=0,0,I7/ABS(H7))</f>
        <v>-0.0136179882409026</v>
      </c>
      <c r="K7" s="8" t="n">
        <v>30923491</v>
      </c>
    </row>
    <row r="8" customFormat="false" ht="15" hidden="false" customHeight="false" outlineLevel="0" collapsed="false">
      <c r="A8" s="4" t="s">
        <v>39</v>
      </c>
      <c r="B8" s="7" t="n">
        <f aca="false">'P&amp;L Trend'!M7</f>
        <v>666848</v>
      </c>
      <c r="C8" s="8" t="n">
        <v>660000</v>
      </c>
      <c r="D8" s="9" t="n">
        <f aca="false">B8-C8</f>
        <v>6848</v>
      </c>
      <c r="E8" s="10" t="n">
        <f aca="false">IF(C8=0,0,D8/ABS(C8))</f>
        <v>0.0103757575757576</v>
      </c>
      <c r="F8" s="8" t="n">
        <v>602776</v>
      </c>
      <c r="G8" s="7" t="n">
        <f aca="false">SUM('P&amp;L Trend'!E7:M7)</f>
        <v>5938728</v>
      </c>
      <c r="H8" s="8" t="n">
        <v>5940000</v>
      </c>
      <c r="I8" s="9" t="n">
        <f aca="false">G8-H8</f>
        <v>-1272</v>
      </c>
      <c r="J8" s="10" t="n">
        <f aca="false">IF(H8=0,0,I8/ABS(H8))</f>
        <v>-0.000214141414141414</v>
      </c>
      <c r="K8" s="8" t="n">
        <v>5481178</v>
      </c>
    </row>
    <row r="9" customFormat="false" ht="15" hidden="false" customHeight="false" outlineLevel="0" collapsed="false">
      <c r="A9" s="4" t="s">
        <v>40</v>
      </c>
      <c r="B9" s="7" t="n">
        <f aca="false">'P&amp;L Trend'!M8</f>
        <v>203231</v>
      </c>
      <c r="C9" s="8" t="n">
        <v>207900</v>
      </c>
      <c r="D9" s="9" t="n">
        <f aca="false">B9-C9</f>
        <v>-4669</v>
      </c>
      <c r="E9" s="10" t="n">
        <f aca="false">IF(C9=0,0,D9/ABS(C9))</f>
        <v>-0.0224579124579125</v>
      </c>
      <c r="F9" s="8" t="n">
        <v>184036</v>
      </c>
      <c r="G9" s="7" t="n">
        <f aca="false">SUM('P&amp;L Trend'!E8:M8)</f>
        <v>1544967</v>
      </c>
      <c r="H9" s="8" t="n">
        <v>1557518</v>
      </c>
      <c r="I9" s="9" t="n">
        <f aca="false">G9-H9</f>
        <v>-12551</v>
      </c>
      <c r="J9" s="10" t="n">
        <f aca="false">IF(H9=0,0,I9/ABS(H9))</f>
        <v>-0.00805833383627027</v>
      </c>
      <c r="K9" s="8" t="n">
        <v>1390150</v>
      </c>
    </row>
    <row r="10" customFormat="false" ht="15" hidden="false" customHeight="false" outlineLevel="0" collapsed="false">
      <c r="A10" s="3" t="s">
        <v>41</v>
      </c>
      <c r="B10" s="11" t="n">
        <f aca="false">SUM(B7:B9)</f>
        <v>5383752</v>
      </c>
      <c r="C10" s="11" t="n">
        <f aca="false">SUM(C7:C9)</f>
        <v>5487900</v>
      </c>
      <c r="D10" s="12" t="n">
        <f aca="false">B10-C10</f>
        <v>-104148</v>
      </c>
      <c r="E10" s="10" t="n">
        <f aca="false">IF(C10=0,0,D10/ABS(C10))</f>
        <v>-0.0189777510523151</v>
      </c>
      <c r="F10" s="11" t="n">
        <f aca="false">SUM(F7:F9)</f>
        <v>4913408</v>
      </c>
      <c r="G10" s="11" t="n">
        <f aca="false">SUM(G7:G9)</f>
        <v>41623856</v>
      </c>
      <c r="H10" s="11" t="n">
        <f aca="false">SUM(H7:H9)</f>
        <v>42109018</v>
      </c>
      <c r="I10" s="12" t="n">
        <f aca="false">G10-H10</f>
        <v>-485162</v>
      </c>
      <c r="J10" s="10" t="n">
        <f aca="false">IF(H10=0,0,I10/ABS(H10))</f>
        <v>-0.0115215700351882</v>
      </c>
      <c r="K10" s="11" t="n">
        <f aca="false">SUM(K7:K9)</f>
        <v>37794819</v>
      </c>
    </row>
    <row r="12" customFormat="false" ht="15" hidden="false" customHeight="false" outlineLevel="0" collapsed="false">
      <c r="A12" s="3" t="s">
        <v>42</v>
      </c>
    </row>
    <row r="13" customFormat="false" ht="15" hidden="false" customHeight="false" outlineLevel="0" collapsed="false">
      <c r="A13" s="4" t="s">
        <v>43</v>
      </c>
      <c r="B13" s="7" t="n">
        <f aca="false">'P&amp;L Trend'!M12</f>
        <v>2967646</v>
      </c>
      <c r="C13" s="8" t="n">
        <v>2885318</v>
      </c>
      <c r="D13" s="9" t="n">
        <f aca="false">B13-C13</f>
        <v>82328</v>
      </c>
      <c r="E13" s="10" t="n">
        <f aca="false">IF(C13=0,0,D13/ABS(C13))</f>
        <v>0.028533423352296</v>
      </c>
      <c r="F13" s="8" t="n">
        <v>2569305</v>
      </c>
      <c r="G13" s="7" t="n">
        <f aca="false">SUM('P&amp;L Trend'!E12:M12)</f>
        <v>22539093</v>
      </c>
      <c r="H13" s="8" t="n">
        <v>22163365</v>
      </c>
      <c r="I13" s="9" t="n">
        <f aca="false">G13-H13</f>
        <v>375728</v>
      </c>
      <c r="J13" s="10" t="n">
        <f aca="false">IF(H13=0,0,I13/ABS(H13))</f>
        <v>0.0169526603924991</v>
      </c>
      <c r="K13" s="8" t="n">
        <v>19783892</v>
      </c>
    </row>
    <row r="14" customFormat="false" ht="15" hidden="false" customHeight="false" outlineLevel="0" collapsed="false">
      <c r="A14" s="4" t="s">
        <v>44</v>
      </c>
      <c r="B14" s="7" t="n">
        <f aca="false">'P&amp;L Trend'!M13</f>
        <v>311603</v>
      </c>
      <c r="C14" s="8" t="n">
        <v>302958</v>
      </c>
      <c r="D14" s="9" t="n">
        <f aca="false">B14-C14</f>
        <v>8645</v>
      </c>
      <c r="E14" s="10" t="n">
        <f aca="false">IF(C14=0,0,D14/ABS(C14))</f>
        <v>0.028535308524614</v>
      </c>
      <c r="F14" s="8" t="n">
        <v>269777</v>
      </c>
      <c r="G14" s="7" t="n">
        <f aca="false">SUM('P&amp;L Trend'!E13:M13)</f>
        <v>2366605</v>
      </c>
      <c r="H14" s="8" t="n">
        <v>2327152</v>
      </c>
      <c r="I14" s="9" t="n">
        <f aca="false">G14-H14</f>
        <v>39453</v>
      </c>
      <c r="J14" s="10" t="n">
        <f aca="false">IF(H14=0,0,I14/ABS(H14))</f>
        <v>0.0169533403920328</v>
      </c>
      <c r="K14" s="8" t="n">
        <v>2077308</v>
      </c>
    </row>
    <row r="15" customFormat="false" ht="15" hidden="false" customHeight="false" outlineLevel="0" collapsed="false">
      <c r="A15" s="4" t="s">
        <v>45</v>
      </c>
      <c r="B15" s="7" t="n">
        <f aca="false">'P&amp;L Trend'!M14</f>
        <v>207735</v>
      </c>
      <c r="C15" s="8" t="n">
        <v>201972</v>
      </c>
      <c r="D15" s="9" t="n">
        <f aca="false">B15-C15</f>
        <v>5763</v>
      </c>
      <c r="E15" s="10" t="n">
        <f aca="false">IF(C15=0,0,D15/ABS(C15))</f>
        <v>0.02853365813083</v>
      </c>
      <c r="F15" s="8" t="n">
        <v>179851</v>
      </c>
      <c r="G15" s="7" t="n">
        <f aca="false">SUM('P&amp;L Trend'!E14:M14)</f>
        <v>1577736</v>
      </c>
      <c r="H15" s="8" t="n">
        <v>1551436</v>
      </c>
      <c r="I15" s="9" t="n">
        <f aca="false">G15-H15</f>
        <v>26300</v>
      </c>
      <c r="J15" s="10" t="n">
        <f aca="false">IF(H15=0,0,I15/ABS(H15))</f>
        <v>0.016952036693747</v>
      </c>
      <c r="K15" s="8" t="n">
        <v>1384873</v>
      </c>
    </row>
    <row r="16" customFormat="false" ht="15" hidden="false" customHeight="false" outlineLevel="0" collapsed="false">
      <c r="A16" s="4" t="s">
        <v>46</v>
      </c>
      <c r="B16" s="7" t="n">
        <f aca="false">'P&amp;L Trend'!M15</f>
        <v>323025</v>
      </c>
      <c r="C16" s="8" t="n">
        <v>126222</v>
      </c>
      <c r="D16" s="9" t="n">
        <f aca="false">B16-C16</f>
        <v>196803</v>
      </c>
      <c r="E16" s="10" t="n">
        <f aca="false">IF(C16=0,0,D16/ABS(C16))</f>
        <v>1.55918144222085</v>
      </c>
      <c r="F16" s="8" t="n">
        <v>122835</v>
      </c>
      <c r="G16" s="7" t="n">
        <f aca="false">SUM('P&amp;L Trend'!E15:M15)</f>
        <v>1330719</v>
      </c>
      <c r="H16" s="8" t="n">
        <v>968508</v>
      </c>
      <c r="I16" s="9" t="n">
        <f aca="false">G16-H16</f>
        <v>362211</v>
      </c>
      <c r="J16" s="10" t="n">
        <f aca="false">IF(H16=0,0,I16/ABS(H16))</f>
        <v>0.373988650584198</v>
      </c>
      <c r="K16" s="8" t="n">
        <v>944871</v>
      </c>
    </row>
    <row r="17" customFormat="false" ht="15" hidden="false" customHeight="false" outlineLevel="0" collapsed="false">
      <c r="A17" s="4" t="s">
        <v>47</v>
      </c>
      <c r="B17" s="7" t="n">
        <f aca="false">'P&amp;L Trend'!M16</f>
        <v>32303</v>
      </c>
      <c r="C17" s="8" t="n">
        <v>32927</v>
      </c>
      <c r="D17" s="9" t="n">
        <f aca="false">B17-C17</f>
        <v>-624</v>
      </c>
      <c r="E17" s="10" t="n">
        <f aca="false">IF(C17=0,0,D17/ABS(C17))</f>
        <v>-0.0189510128466001</v>
      </c>
      <c r="F17" s="8" t="n">
        <v>29480</v>
      </c>
      <c r="G17" s="7" t="n">
        <f aca="false">SUM('P&amp;L Trend'!E16:M16)</f>
        <v>249743</v>
      </c>
      <c r="H17" s="8" t="n">
        <v>252653</v>
      </c>
      <c r="I17" s="9" t="n">
        <f aca="false">G17-H17</f>
        <v>-2910</v>
      </c>
      <c r="J17" s="10" t="n">
        <f aca="false">IF(H17=0,0,I17/ABS(H17))</f>
        <v>-0.0115177733887981</v>
      </c>
      <c r="K17" s="8" t="n">
        <v>226767</v>
      </c>
    </row>
    <row r="18" customFormat="false" ht="15" hidden="false" customHeight="false" outlineLevel="0" collapsed="false">
      <c r="A18" s="4" t="s">
        <v>48</v>
      </c>
      <c r="B18" s="7" t="n">
        <f aca="false">'P&amp;L Trend'!M17</f>
        <v>43070</v>
      </c>
      <c r="C18" s="8" t="n">
        <v>43903</v>
      </c>
      <c r="D18" s="9" t="n">
        <f aca="false">B18-C18</f>
        <v>-833</v>
      </c>
      <c r="E18" s="10" t="n">
        <f aca="false">IF(C18=0,0,D18/ABS(C18))</f>
        <v>-0.0189736464478509</v>
      </c>
      <c r="F18" s="8" t="n">
        <v>39307</v>
      </c>
      <c r="G18" s="7" t="n">
        <f aca="false">SUM('P&amp;L Trend'!E17:M17)</f>
        <v>332990</v>
      </c>
      <c r="H18" s="8" t="n">
        <v>336872</v>
      </c>
      <c r="I18" s="9" t="n">
        <f aca="false">G18-H18</f>
        <v>-3882</v>
      </c>
      <c r="J18" s="10" t="n">
        <f aca="false">IF(H18=0,0,I18/ABS(H18))</f>
        <v>-0.0115236647747512</v>
      </c>
      <c r="K18" s="8" t="n">
        <v>302359</v>
      </c>
    </row>
    <row r="19" customFormat="false" ht="15" hidden="false" customHeight="false" outlineLevel="0" collapsed="false">
      <c r="A19" s="3" t="s">
        <v>49</v>
      </c>
      <c r="B19" s="11" t="n">
        <f aca="false">SUM(B13:B18)</f>
        <v>3885382</v>
      </c>
      <c r="C19" s="11" t="n">
        <f aca="false">SUM(C13:C18)</f>
        <v>3593300</v>
      </c>
      <c r="D19" s="12" t="n">
        <f aca="false">B19-C19</f>
        <v>292082</v>
      </c>
      <c r="E19" s="10" t="n">
        <f aca="false">IF(C19=0,0,D19/ABS(C19))</f>
        <v>0.0812851696212395</v>
      </c>
      <c r="F19" s="11" t="n">
        <f aca="false">SUM(F13:F18)</f>
        <v>3210555</v>
      </c>
      <c r="G19" s="11" t="n">
        <f aca="false">SUM(G13:G18)</f>
        <v>28396886</v>
      </c>
      <c r="H19" s="11" t="n">
        <f aca="false">SUM(H13:H18)</f>
        <v>27599986</v>
      </c>
      <c r="I19" s="12" t="n">
        <f aca="false">G19-H19</f>
        <v>796900</v>
      </c>
      <c r="J19" s="10" t="n">
        <f aca="false">IF(H19=0,0,I19/ABS(H19))</f>
        <v>0.0288732030516247</v>
      </c>
      <c r="K19" s="11" t="n">
        <f aca="false">SUM(K13:K18)</f>
        <v>24720070</v>
      </c>
    </row>
    <row r="20" customFormat="false" ht="15" hidden="false" customHeight="false" outlineLevel="0" collapsed="false">
      <c r="A20" s="3" t="s">
        <v>50</v>
      </c>
      <c r="B20" s="11" t="n">
        <f aca="false">B10-B19</f>
        <v>1498370</v>
      </c>
      <c r="C20" s="11" t="n">
        <f aca="false">C10-C19</f>
        <v>1894600</v>
      </c>
      <c r="D20" s="12" t="n">
        <f aca="false">B20-C20</f>
        <v>-396230</v>
      </c>
      <c r="E20" s="10" t="n">
        <f aca="false">IF(C20=0,0,D20/ABS(C20))</f>
        <v>-0.209136493191175</v>
      </c>
      <c r="F20" s="11" t="n">
        <f aca="false">F10-F19</f>
        <v>1702853</v>
      </c>
      <c r="G20" s="11" t="n">
        <f aca="false">G10-G19</f>
        <v>13226970</v>
      </c>
      <c r="H20" s="11" t="n">
        <f aca="false">H10-H19</f>
        <v>14509032</v>
      </c>
      <c r="I20" s="12" t="n">
        <f aca="false">G20-H20</f>
        <v>-1282062</v>
      </c>
      <c r="J20" s="10" t="n">
        <f aca="false">IF(H20=0,0,I20/ABS(H20))</f>
        <v>-0.0883630279401134</v>
      </c>
      <c r="K20" s="11" t="n">
        <f aca="false">K10-K19</f>
        <v>13074749</v>
      </c>
    </row>
    <row r="21" customFormat="false" ht="15" hidden="false" customHeight="false" outlineLevel="0" collapsed="false">
      <c r="A21" s="4" t="s">
        <v>51</v>
      </c>
      <c r="B21" s="10" t="n">
        <f aca="false">IF(B10=0,0,B20/B10)</f>
        <v>0.278313339841806</v>
      </c>
      <c r="C21" s="10" t="n">
        <f aca="false">IF(C10=0,0,C20/C10)</f>
        <v>0.34523223819676</v>
      </c>
      <c r="F21" s="10" t="n">
        <f aca="false">IF(F10=0,0,F20/F10)</f>
        <v>0.346572684377117</v>
      </c>
      <c r="G21" s="10" t="n">
        <f aca="false">IF(G10=0,0,G20/G10)</f>
        <v>0.31777377857544</v>
      </c>
      <c r="H21" s="10" t="n">
        <f aca="false">IF(H10=0,0,H20/H10)</f>
        <v>0.344558783109119</v>
      </c>
      <c r="K21" s="10" t="n">
        <f aca="false">IF(K10=0,0,K20/K10)</f>
        <v>0.345940246466057</v>
      </c>
    </row>
    <row r="23" customFormat="false" ht="15" hidden="false" customHeight="false" outlineLevel="0" collapsed="false">
      <c r="A23" s="3" t="s">
        <v>52</v>
      </c>
    </row>
    <row r="24" customFormat="false" ht="15" hidden="false" customHeight="false" outlineLevel="0" collapsed="false">
      <c r="A24" s="4" t="s">
        <v>53</v>
      </c>
      <c r="B24" s="7" t="n">
        <f aca="false">'P&amp;L Trend'!M23</f>
        <v>455000</v>
      </c>
      <c r="C24" s="8" t="n">
        <v>430000</v>
      </c>
      <c r="D24" s="9" t="n">
        <f aca="false">B24-C24</f>
        <v>25000</v>
      </c>
      <c r="E24" s="10" t="n">
        <f aca="false">IF(C24=0,0,D24/ABS(C24))</f>
        <v>0.0581395348837209</v>
      </c>
      <c r="F24" s="8" t="n">
        <v>405000</v>
      </c>
      <c r="G24" s="7" t="n">
        <f aca="false">SUM('P&amp;L Trend'!E23:M23)</f>
        <v>4015000</v>
      </c>
      <c r="H24" s="8" t="n">
        <v>3870000</v>
      </c>
      <c r="I24" s="9" t="n">
        <f aca="false">G24-H24</f>
        <v>145000</v>
      </c>
      <c r="J24" s="10" t="n">
        <f aca="false">IF(H24=0,0,I24/ABS(H24))</f>
        <v>0.0374677002583979</v>
      </c>
      <c r="K24" s="8" t="n">
        <v>3645000</v>
      </c>
    </row>
    <row r="25" customFormat="false" ht="15" hidden="false" customHeight="false" outlineLevel="0" collapsed="false">
      <c r="A25" s="4" t="s">
        <v>54</v>
      </c>
      <c r="B25" s="7" t="n">
        <f aca="false">'P&amp;L Trend'!M24</f>
        <v>96908</v>
      </c>
      <c r="C25" s="8" t="n">
        <v>65855</v>
      </c>
      <c r="D25" s="9" t="n">
        <f aca="false">B25-C25</f>
        <v>31053</v>
      </c>
      <c r="E25" s="10" t="n">
        <f aca="false">IF(C25=0,0,D25/ABS(C25))</f>
        <v>0.471535950193607</v>
      </c>
      <c r="F25" s="8" t="n">
        <v>58961</v>
      </c>
      <c r="G25" s="7" t="n">
        <f aca="false">SUM('P&amp;L Trend'!E24:M24)</f>
        <v>562296</v>
      </c>
      <c r="H25" s="8" t="n">
        <v>505308</v>
      </c>
      <c r="I25" s="9" t="n">
        <f aca="false">G25-H25</f>
        <v>56988</v>
      </c>
      <c r="J25" s="10" t="n">
        <f aca="false">IF(H25=0,0,I25/ABS(H25))</f>
        <v>0.112778740886746</v>
      </c>
      <c r="K25" s="8" t="n">
        <v>453539</v>
      </c>
    </row>
    <row r="26" customFormat="false" ht="15" hidden="false" customHeight="false" outlineLevel="0" collapsed="false">
      <c r="A26" s="4" t="s">
        <v>55</v>
      </c>
      <c r="B26" s="7" t="n">
        <f aca="false">'P&amp;L Trend'!M25</f>
        <v>45000</v>
      </c>
      <c r="C26" s="8" t="n">
        <v>45000</v>
      </c>
      <c r="D26" s="9" t="n">
        <f aca="false">B26-C26</f>
        <v>0</v>
      </c>
      <c r="E26" s="10" t="n">
        <f aca="false">IF(C26=0,0,D26/ABS(C26))</f>
        <v>0</v>
      </c>
      <c r="F26" s="8" t="n">
        <v>45000</v>
      </c>
      <c r="G26" s="7" t="n">
        <f aca="false">SUM('P&amp;L Trend'!E25:M25)</f>
        <v>405000</v>
      </c>
      <c r="H26" s="8" t="n">
        <v>405000</v>
      </c>
      <c r="I26" s="9" t="n">
        <f aca="false">G26-H26</f>
        <v>0</v>
      </c>
      <c r="J26" s="10" t="n">
        <f aca="false">IF(H26=0,0,I26/ABS(H26))</f>
        <v>0</v>
      </c>
      <c r="K26" s="8" t="n">
        <v>405000</v>
      </c>
    </row>
    <row r="27" customFormat="false" ht="15" hidden="false" customHeight="false" outlineLevel="0" collapsed="false">
      <c r="A27" s="4" t="s">
        <v>56</v>
      </c>
      <c r="B27" s="7" t="n">
        <f aca="false">'P&amp;L Trend'!M26</f>
        <v>68000</v>
      </c>
      <c r="C27" s="8" t="n">
        <v>68000</v>
      </c>
      <c r="D27" s="9" t="n">
        <f aca="false">B27-C27</f>
        <v>0</v>
      </c>
      <c r="E27" s="10" t="n">
        <f aca="false">IF(C27=0,0,D27/ABS(C27))</f>
        <v>0</v>
      </c>
      <c r="F27" s="8" t="n">
        <v>68000</v>
      </c>
      <c r="G27" s="7" t="n">
        <f aca="false">SUM('P&amp;L Trend'!E26:M26)</f>
        <v>612000</v>
      </c>
      <c r="H27" s="8" t="n">
        <v>612000</v>
      </c>
      <c r="I27" s="9" t="n">
        <f aca="false">G27-H27</f>
        <v>0</v>
      </c>
      <c r="J27" s="10" t="n">
        <f aca="false">IF(H27=0,0,I27/ABS(H27))</f>
        <v>0</v>
      </c>
      <c r="K27" s="8" t="n">
        <v>612000</v>
      </c>
    </row>
    <row r="28" customFormat="false" ht="15" hidden="false" customHeight="false" outlineLevel="0" collapsed="false">
      <c r="A28" s="4" t="s">
        <v>57</v>
      </c>
      <c r="B28" s="7" t="n">
        <f aca="false">'P&amp;L Trend'!M27</f>
        <v>36000</v>
      </c>
      <c r="C28" s="8" t="n">
        <v>36000</v>
      </c>
      <c r="D28" s="9" t="n">
        <f aca="false">B28-C28</f>
        <v>0</v>
      </c>
      <c r="E28" s="10" t="n">
        <f aca="false">IF(C28=0,0,D28/ABS(C28))</f>
        <v>0</v>
      </c>
      <c r="F28" s="8" t="n">
        <v>36000</v>
      </c>
      <c r="G28" s="7" t="n">
        <f aca="false">SUM('P&amp;L Trend'!E27:M27)</f>
        <v>324000</v>
      </c>
      <c r="H28" s="8" t="n">
        <v>324000</v>
      </c>
      <c r="I28" s="9" t="n">
        <f aca="false">G28-H28</f>
        <v>0</v>
      </c>
      <c r="J28" s="10" t="n">
        <f aca="false">IF(H28=0,0,I28/ABS(H28))</f>
        <v>0</v>
      </c>
      <c r="K28" s="8" t="n">
        <v>324000</v>
      </c>
    </row>
    <row r="29" customFormat="false" ht="15" hidden="false" customHeight="false" outlineLevel="0" collapsed="false">
      <c r="A29" s="4" t="s">
        <v>58</v>
      </c>
      <c r="B29" s="7" t="n">
        <f aca="false">'P&amp;L Trend'!M28</f>
        <v>178000</v>
      </c>
      <c r="C29" s="8" t="n">
        <v>38000</v>
      </c>
      <c r="D29" s="9" t="n">
        <f aca="false">B29-C29</f>
        <v>140000</v>
      </c>
      <c r="E29" s="10" t="n">
        <f aca="false">IF(C29=0,0,D29/ABS(C29))</f>
        <v>3.68421052631579</v>
      </c>
      <c r="F29" s="8" t="n">
        <v>38000</v>
      </c>
      <c r="G29" s="7" t="n">
        <f aca="false">SUM('P&amp;L Trend'!E28:M28)</f>
        <v>542000</v>
      </c>
      <c r="H29" s="8" t="n">
        <v>342000</v>
      </c>
      <c r="I29" s="9" t="n">
        <f aca="false">G29-H29</f>
        <v>200000</v>
      </c>
      <c r="J29" s="10" t="n">
        <f aca="false">IF(H29=0,0,I29/ABS(H29))</f>
        <v>0.584795321637427</v>
      </c>
      <c r="K29" s="8" t="n">
        <v>342000</v>
      </c>
    </row>
    <row r="30" customFormat="false" ht="15" hidden="false" customHeight="false" outlineLevel="0" collapsed="false">
      <c r="A30" s="4" t="s">
        <v>59</v>
      </c>
      <c r="B30" s="7" t="n">
        <f aca="false">'P&amp;L Trend'!M29</f>
        <v>24000</v>
      </c>
      <c r="C30" s="8" t="n">
        <v>24000</v>
      </c>
      <c r="D30" s="9" t="n">
        <f aca="false">B30-C30</f>
        <v>0</v>
      </c>
      <c r="E30" s="10" t="n">
        <f aca="false">IF(C30=0,0,D30/ABS(C30))</f>
        <v>0</v>
      </c>
      <c r="F30" s="8" t="n">
        <v>24000</v>
      </c>
      <c r="G30" s="7" t="n">
        <f aca="false">SUM('P&amp;L Trend'!E29:M29)</f>
        <v>216000</v>
      </c>
      <c r="H30" s="8" t="n">
        <v>216000</v>
      </c>
      <c r="I30" s="9" t="n">
        <f aca="false">G30-H30</f>
        <v>0</v>
      </c>
      <c r="J30" s="10" t="n">
        <f aca="false">IF(H30=0,0,I30/ABS(H30))</f>
        <v>0</v>
      </c>
      <c r="K30" s="8" t="n">
        <v>216000</v>
      </c>
    </row>
    <row r="31" customFormat="false" ht="15" hidden="false" customHeight="false" outlineLevel="0" collapsed="false">
      <c r="A31" s="4" t="s">
        <v>60</v>
      </c>
      <c r="B31" s="7" t="n">
        <f aca="false">'P&amp;L Trend'!M30</f>
        <v>14000</v>
      </c>
      <c r="C31" s="8" t="n">
        <v>14000</v>
      </c>
      <c r="D31" s="9" t="n">
        <f aca="false">B31-C31</f>
        <v>0</v>
      </c>
      <c r="E31" s="10" t="n">
        <f aca="false">IF(C31=0,0,D31/ABS(C31))</f>
        <v>0</v>
      </c>
      <c r="F31" s="8" t="n">
        <v>14000</v>
      </c>
      <c r="G31" s="7" t="n">
        <f aca="false">SUM('P&amp;L Trend'!E30:M30)</f>
        <v>126000</v>
      </c>
      <c r="H31" s="8" t="n">
        <v>126000</v>
      </c>
      <c r="I31" s="9" t="n">
        <f aca="false">G31-H31</f>
        <v>0</v>
      </c>
      <c r="J31" s="10" t="n">
        <f aca="false">IF(H31=0,0,I31/ABS(H31))</f>
        <v>0</v>
      </c>
      <c r="K31" s="8" t="n">
        <v>126000</v>
      </c>
    </row>
    <row r="32" customFormat="false" ht="15" hidden="false" customHeight="false" outlineLevel="0" collapsed="false">
      <c r="A32" s="4" t="s">
        <v>61</v>
      </c>
      <c r="B32" s="7" t="n">
        <f aca="false">'P&amp;L Trend'!M31</f>
        <v>62500</v>
      </c>
      <c r="C32" s="8" t="n">
        <v>62500</v>
      </c>
      <c r="D32" s="9" t="n">
        <f aca="false">B32-C32</f>
        <v>0</v>
      </c>
      <c r="E32" s="10" t="n">
        <f aca="false">IF(C32=0,0,D32/ABS(C32))</f>
        <v>0</v>
      </c>
      <c r="F32" s="8" t="n">
        <v>62500</v>
      </c>
      <c r="G32" s="7" t="n">
        <f aca="false">SUM('P&amp;L Trend'!E31:M31)</f>
        <v>562500</v>
      </c>
      <c r="H32" s="8" t="n">
        <v>562500</v>
      </c>
      <c r="I32" s="9" t="n">
        <f aca="false">G32-H32</f>
        <v>0</v>
      </c>
      <c r="J32" s="10" t="n">
        <f aca="false">IF(H32=0,0,I32/ABS(H32))</f>
        <v>0</v>
      </c>
      <c r="K32" s="8" t="n">
        <v>562500</v>
      </c>
    </row>
    <row r="33" customFormat="false" ht="15" hidden="false" customHeight="false" outlineLevel="0" collapsed="false">
      <c r="A33" s="4" t="s">
        <v>62</v>
      </c>
      <c r="B33" s="7" t="n">
        <f aca="false">'P&amp;L Trend'!M32</f>
        <v>58000</v>
      </c>
      <c r="C33" s="8" t="n">
        <v>28000</v>
      </c>
      <c r="D33" s="9" t="n">
        <f aca="false">B33-C33</f>
        <v>30000</v>
      </c>
      <c r="E33" s="10" t="n">
        <f aca="false">IF(C33=0,0,D33/ABS(C33))</f>
        <v>1.07142857142857</v>
      </c>
      <c r="F33" s="8" t="n">
        <v>28000</v>
      </c>
      <c r="G33" s="7" t="n">
        <f aca="false">SUM('P&amp;L Trend'!E32:M32)</f>
        <v>372000</v>
      </c>
      <c r="H33" s="8" t="n">
        <v>252000</v>
      </c>
      <c r="I33" s="9" t="n">
        <f aca="false">G33-H33</f>
        <v>120000</v>
      </c>
      <c r="J33" s="10" t="n">
        <f aca="false">IF(H33=0,0,I33/ABS(H33))</f>
        <v>0.476190476190476</v>
      </c>
      <c r="K33" s="8" t="n">
        <v>252000</v>
      </c>
    </row>
    <row r="34" customFormat="false" ht="15" hidden="false" customHeight="false" outlineLevel="0" collapsed="false">
      <c r="A34" s="3" t="s">
        <v>63</v>
      </c>
      <c r="B34" s="11" t="n">
        <f aca="false">SUM(B24:B33)</f>
        <v>1037408</v>
      </c>
      <c r="C34" s="11" t="n">
        <f aca="false">SUM(C24:C33)</f>
        <v>811355</v>
      </c>
      <c r="D34" s="12" t="n">
        <f aca="false">B34-C34</f>
        <v>226053</v>
      </c>
      <c r="E34" s="10" t="n">
        <f aca="false">IF(C34=0,0,D34/ABS(C34))</f>
        <v>0.278611705110587</v>
      </c>
      <c r="F34" s="11" t="n">
        <f aca="false">SUM(F24:F33)</f>
        <v>779461</v>
      </c>
      <c r="G34" s="11" t="n">
        <f aca="false">SUM(G24:G33)</f>
        <v>7736796</v>
      </c>
      <c r="H34" s="11" t="n">
        <f aca="false">SUM(H24:H33)</f>
        <v>7214808</v>
      </c>
      <c r="I34" s="12" t="n">
        <f aca="false">G34-H34</f>
        <v>521988</v>
      </c>
      <c r="J34" s="10" t="n">
        <f aca="false">IF(H34=0,0,I34/ABS(H34))</f>
        <v>0.0723495344574658</v>
      </c>
      <c r="K34" s="13" t="n">
        <v>6963039</v>
      </c>
    </row>
    <row r="36" customFormat="false" ht="15" hidden="false" customHeight="false" outlineLevel="0" collapsed="false">
      <c r="A36" s="3" t="s">
        <v>64</v>
      </c>
      <c r="B36" s="11" t="n">
        <f aca="false">B20-B34</f>
        <v>460962</v>
      </c>
      <c r="C36" s="11" t="n">
        <f aca="false">C20-C34</f>
        <v>1083245</v>
      </c>
      <c r="D36" s="12" t="n">
        <f aca="false">B36-C36</f>
        <v>-622283</v>
      </c>
      <c r="E36" s="10" t="n">
        <f aca="false">IF(C36=0,0,D36/ABS(C36))</f>
        <v>-0.574461917664056</v>
      </c>
      <c r="F36" s="11" t="n">
        <f aca="false">F20-F34</f>
        <v>923392</v>
      </c>
      <c r="G36" s="11" t="n">
        <f aca="false">G20-G34</f>
        <v>5490174</v>
      </c>
      <c r="H36" s="11" t="n">
        <f aca="false">H20-H34</f>
        <v>7294224</v>
      </c>
      <c r="I36" s="12" t="n">
        <f aca="false">G36-H36</f>
        <v>-1804050</v>
      </c>
      <c r="J36" s="10" t="n">
        <f aca="false">IF(H36=0,0,I36/ABS(H36))</f>
        <v>-0.247325829313715</v>
      </c>
      <c r="K36" s="11" t="n">
        <f aca="false">K20-K34</f>
        <v>6111710</v>
      </c>
    </row>
    <row r="37" customFormat="false" ht="15" hidden="false" customHeight="false" outlineLevel="0" collapsed="false">
      <c r="A37" s="4" t="s">
        <v>65</v>
      </c>
      <c r="B37" s="10" t="n">
        <f aca="false">IF(B10=0,0,B36/B10)</f>
        <v>0.0856209572803502</v>
      </c>
      <c r="C37" s="10" t="n">
        <f aca="false">IF(C10=0,0,C36/C10)</f>
        <v>0.197387889721023</v>
      </c>
      <c r="F37" s="10" t="n">
        <f aca="false">IF(F10=0,0,F36/F10)</f>
        <v>0.187933100609597</v>
      </c>
      <c r="G37" s="10" t="n">
        <f aca="false">IF(G10=0,0,G36/G10)</f>
        <v>0.13189969713522</v>
      </c>
      <c r="H37" s="10" t="n">
        <f aca="false">IF(H10=0,0,H36/H10)</f>
        <v>0.17322237246188</v>
      </c>
      <c r="K37" s="10" t="n">
        <f aca="false">IF(K10=0,0,K36/K10)</f>
        <v>0.16170761394571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4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0"/>
    <col collapsed="false" customWidth="true" hidden="false" outlineLevel="0" max="14" min="2" style="0" width="12"/>
  </cols>
  <sheetData>
    <row r="1" customFormat="false" ht="15" hidden="false" customHeight="false" outlineLevel="0" collapsed="false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</row>
    <row r="2" customFormat="false" ht="15" hidden="false" customHeight="false" outlineLevel="0" collapsed="false">
      <c r="A2" s="3" t="s">
        <v>66</v>
      </c>
    </row>
    <row r="4" customFormat="false" ht="15" hidden="false" customHeight="false" outlineLevel="0" collapsed="false">
      <c r="A4" s="6" t="s">
        <v>28</v>
      </c>
      <c r="B4" s="6" t="s">
        <v>67</v>
      </c>
      <c r="C4" s="6" t="s">
        <v>68</v>
      </c>
      <c r="D4" s="6" t="s">
        <v>69</v>
      </c>
      <c r="E4" s="6" t="s">
        <v>70</v>
      </c>
      <c r="F4" s="6" t="s">
        <v>71</v>
      </c>
      <c r="G4" s="6" t="s">
        <v>72</v>
      </c>
      <c r="H4" s="6" t="s">
        <v>73</v>
      </c>
      <c r="I4" s="6" t="s">
        <v>74</v>
      </c>
      <c r="J4" s="6" t="s">
        <v>75</v>
      </c>
      <c r="K4" s="6" t="s">
        <v>76</v>
      </c>
      <c r="L4" s="6" t="s">
        <v>77</v>
      </c>
      <c r="M4" s="6" t="s">
        <v>78</v>
      </c>
      <c r="N4" s="6" t="s">
        <v>79</v>
      </c>
    </row>
    <row r="5" customFormat="false" ht="15" hidden="false" customHeight="false" outlineLevel="0" collapsed="false">
      <c r="A5" s="3" t="s">
        <v>37</v>
      </c>
    </row>
    <row r="6" customFormat="false" ht="15" hidden="false" customHeight="false" outlineLevel="0" collapsed="false">
      <c r="A6" s="4" t="s">
        <v>38</v>
      </c>
      <c r="B6" s="8" t="n">
        <v>3795946</v>
      </c>
      <c r="C6" s="8" t="n">
        <v>3300749</v>
      </c>
      <c r="D6" s="8" t="n">
        <v>3092832</v>
      </c>
      <c r="E6" s="8" t="n">
        <v>2627915</v>
      </c>
      <c r="F6" s="8" t="n">
        <v>2772557</v>
      </c>
      <c r="G6" s="8" t="n">
        <v>3248641</v>
      </c>
      <c r="H6" s="8" t="n">
        <v>3769179</v>
      </c>
      <c r="I6" s="8" t="n">
        <v>4178653</v>
      </c>
      <c r="J6" s="8" t="n">
        <v>4365386</v>
      </c>
      <c r="K6" s="8" t="n">
        <v>4427158</v>
      </c>
      <c r="L6" s="8" t="n">
        <v>4236999</v>
      </c>
      <c r="M6" s="8" t="n">
        <v>4513673</v>
      </c>
      <c r="N6" s="14" t="n">
        <f aca="false">SUM(B6:M6)</f>
        <v>44329688</v>
      </c>
    </row>
    <row r="7" customFormat="false" ht="15" hidden="false" customHeight="false" outlineLevel="0" collapsed="false">
      <c r="A7" s="4" t="s">
        <v>39</v>
      </c>
      <c r="B7" s="8" t="n">
        <v>618607</v>
      </c>
      <c r="C7" s="8" t="n">
        <v>614676</v>
      </c>
      <c r="D7" s="8" t="n">
        <v>618972</v>
      </c>
      <c r="E7" s="8" t="n">
        <v>663689</v>
      </c>
      <c r="F7" s="8" t="n">
        <v>660414</v>
      </c>
      <c r="G7" s="8" t="n">
        <v>666701</v>
      </c>
      <c r="H7" s="8" t="n">
        <v>664850</v>
      </c>
      <c r="I7" s="8" t="n">
        <v>651550</v>
      </c>
      <c r="J7" s="8" t="n">
        <v>655436</v>
      </c>
      <c r="K7" s="8" t="n">
        <v>654139</v>
      </c>
      <c r="L7" s="8" t="n">
        <v>655101</v>
      </c>
      <c r="M7" s="8" t="n">
        <v>666848</v>
      </c>
      <c r="N7" s="14" t="n">
        <f aca="false">SUM(B7:M7)</f>
        <v>7790983</v>
      </c>
    </row>
    <row r="8" customFormat="false" ht="15" hidden="false" customHeight="false" outlineLevel="0" collapsed="false">
      <c r="A8" s="4" t="s">
        <v>40</v>
      </c>
      <c r="B8" s="8" t="n">
        <v>171665</v>
      </c>
      <c r="C8" s="8" t="n">
        <v>149959</v>
      </c>
      <c r="D8" s="8" t="n">
        <v>138092</v>
      </c>
      <c r="E8" s="8" t="n">
        <v>117923</v>
      </c>
      <c r="F8" s="8" t="n">
        <v>125881</v>
      </c>
      <c r="G8" s="8" t="n">
        <v>148205</v>
      </c>
      <c r="H8" s="8" t="n">
        <v>171749</v>
      </c>
      <c r="I8" s="8" t="n">
        <v>190224</v>
      </c>
      <c r="J8" s="8" t="n">
        <v>194089</v>
      </c>
      <c r="K8" s="8" t="n">
        <v>201182</v>
      </c>
      <c r="L8" s="8" t="n">
        <v>192483</v>
      </c>
      <c r="M8" s="8" t="n">
        <v>203231</v>
      </c>
      <c r="N8" s="14" t="n">
        <f aca="false">SUM(B8:M8)</f>
        <v>2004683</v>
      </c>
    </row>
    <row r="9" customFormat="false" ht="15" hidden="false" customHeight="false" outlineLevel="0" collapsed="false">
      <c r="A9" s="3" t="s">
        <v>41</v>
      </c>
      <c r="B9" s="11" t="n">
        <f aca="false">SUM(B6:B8)</f>
        <v>4586218</v>
      </c>
      <c r="C9" s="11" t="n">
        <f aca="false">SUM(C6:C8)</f>
        <v>4065384</v>
      </c>
      <c r="D9" s="11" t="n">
        <f aca="false">SUM(D6:D8)</f>
        <v>3849896</v>
      </c>
      <c r="E9" s="11" t="n">
        <f aca="false">SUM(E6:E8)</f>
        <v>3409527</v>
      </c>
      <c r="F9" s="11" t="n">
        <f aca="false">SUM(F6:F8)</f>
        <v>3558852</v>
      </c>
      <c r="G9" s="11" t="n">
        <f aca="false">SUM(G6:G8)</f>
        <v>4063547</v>
      </c>
      <c r="H9" s="11" t="n">
        <f aca="false">SUM(H6:H8)</f>
        <v>4605778</v>
      </c>
      <c r="I9" s="11" t="n">
        <f aca="false">SUM(I6:I8)</f>
        <v>5020427</v>
      </c>
      <c r="J9" s="11" t="n">
        <f aca="false">SUM(J6:J8)</f>
        <v>5214911</v>
      </c>
      <c r="K9" s="11" t="n">
        <f aca="false">SUM(K6:K8)</f>
        <v>5282479</v>
      </c>
      <c r="L9" s="11" t="n">
        <f aca="false">SUM(L6:L8)</f>
        <v>5084583</v>
      </c>
      <c r="M9" s="11" t="n">
        <f aca="false">SUM(M6:M8)</f>
        <v>5383752</v>
      </c>
      <c r="N9" s="11" t="n">
        <f aca="false">SUM(N6:N8)</f>
        <v>54125354</v>
      </c>
    </row>
    <row r="11" customFormat="false" ht="15" hidden="false" customHeight="false" outlineLevel="0" collapsed="false">
      <c r="A11" s="3" t="s">
        <v>42</v>
      </c>
    </row>
    <row r="12" customFormat="false" ht="15" hidden="false" customHeight="false" outlineLevel="0" collapsed="false">
      <c r="A12" s="4" t="s">
        <v>43</v>
      </c>
      <c r="B12" s="8" t="n">
        <v>2398706</v>
      </c>
      <c r="C12" s="8" t="n">
        <v>2128008</v>
      </c>
      <c r="D12" s="8" t="n">
        <v>2017621</v>
      </c>
      <c r="E12" s="8" t="n">
        <v>1840795</v>
      </c>
      <c r="F12" s="8" t="n">
        <v>1920220</v>
      </c>
      <c r="G12" s="8" t="n">
        <v>2191034</v>
      </c>
      <c r="H12" s="8" t="n">
        <v>2482336</v>
      </c>
      <c r="I12" s="8" t="n">
        <v>2704970</v>
      </c>
      <c r="J12" s="8" t="n">
        <v>2811972</v>
      </c>
      <c r="K12" s="8" t="n">
        <v>2845948</v>
      </c>
      <c r="L12" s="8" t="n">
        <v>2774172</v>
      </c>
      <c r="M12" s="8" t="n">
        <v>2967646</v>
      </c>
      <c r="N12" s="14" t="n">
        <f aca="false">SUM(B12:M12)</f>
        <v>29083428</v>
      </c>
    </row>
    <row r="13" customFormat="false" ht="15" hidden="false" customHeight="false" outlineLevel="0" collapsed="false">
      <c r="A13" s="4" t="s">
        <v>44</v>
      </c>
      <c r="B13" s="8" t="n">
        <v>251864</v>
      </c>
      <c r="C13" s="8" t="n">
        <v>223441</v>
      </c>
      <c r="D13" s="8" t="n">
        <v>211850</v>
      </c>
      <c r="E13" s="8" t="n">
        <v>193283</v>
      </c>
      <c r="F13" s="8" t="n">
        <v>201623</v>
      </c>
      <c r="G13" s="8" t="n">
        <v>230059</v>
      </c>
      <c r="H13" s="8" t="n">
        <v>260645</v>
      </c>
      <c r="I13" s="8" t="n">
        <v>284022</v>
      </c>
      <c r="J13" s="8" t="n">
        <v>295257</v>
      </c>
      <c r="K13" s="8" t="n">
        <v>298825</v>
      </c>
      <c r="L13" s="8" t="n">
        <v>291288</v>
      </c>
      <c r="M13" s="8" t="n">
        <v>311603</v>
      </c>
      <c r="N13" s="14" t="n">
        <f aca="false">SUM(B13:M13)</f>
        <v>3053760</v>
      </c>
    </row>
    <row r="14" customFormat="false" ht="15" hidden="false" customHeight="false" outlineLevel="0" collapsed="false">
      <c r="A14" s="4" t="s">
        <v>45</v>
      </c>
      <c r="B14" s="8" t="n">
        <v>167909</v>
      </c>
      <c r="C14" s="8" t="n">
        <v>148961</v>
      </c>
      <c r="D14" s="8" t="n">
        <v>141233</v>
      </c>
      <c r="E14" s="8" t="n">
        <v>128856</v>
      </c>
      <c r="F14" s="8" t="n">
        <v>134415</v>
      </c>
      <c r="G14" s="8" t="n">
        <v>153372</v>
      </c>
      <c r="H14" s="8" t="n">
        <v>173764</v>
      </c>
      <c r="I14" s="8" t="n">
        <v>189348</v>
      </c>
      <c r="J14" s="8" t="n">
        <v>196838</v>
      </c>
      <c r="K14" s="8" t="n">
        <v>199216</v>
      </c>
      <c r="L14" s="8" t="n">
        <v>194192</v>
      </c>
      <c r="M14" s="8" t="n">
        <v>207735</v>
      </c>
      <c r="N14" s="14" t="n">
        <f aca="false">SUM(B14:M14)</f>
        <v>2035839</v>
      </c>
    </row>
    <row r="15" customFormat="false" ht="15" hidden="false" customHeight="false" outlineLevel="0" collapsed="false">
      <c r="A15" s="4" t="s">
        <v>46</v>
      </c>
      <c r="B15" s="8" t="n">
        <v>114655</v>
      </c>
      <c r="C15" s="8" t="n">
        <v>101635</v>
      </c>
      <c r="D15" s="8" t="n">
        <v>96247</v>
      </c>
      <c r="E15" s="8" t="n">
        <v>85238</v>
      </c>
      <c r="F15" s="8" t="n">
        <v>88971</v>
      </c>
      <c r="G15" s="8" t="n">
        <v>101589</v>
      </c>
      <c r="H15" s="8" t="n">
        <v>115144</v>
      </c>
      <c r="I15" s="8" t="n">
        <v>125511</v>
      </c>
      <c r="J15" s="8" t="n">
        <v>130373</v>
      </c>
      <c r="K15" s="8" t="n">
        <v>132062</v>
      </c>
      <c r="L15" s="8" t="n">
        <v>228806</v>
      </c>
      <c r="M15" s="8" t="n">
        <v>323025</v>
      </c>
      <c r="N15" s="14" t="n">
        <f aca="false">SUM(B15:M15)</f>
        <v>1643256</v>
      </c>
    </row>
    <row r="16" customFormat="false" ht="15" hidden="false" customHeight="false" outlineLevel="0" collapsed="false">
      <c r="A16" s="4" t="s">
        <v>47</v>
      </c>
      <c r="B16" s="8" t="n">
        <v>27517</v>
      </c>
      <c r="C16" s="8" t="n">
        <v>24392</v>
      </c>
      <c r="D16" s="8" t="n">
        <v>23099</v>
      </c>
      <c r="E16" s="8" t="n">
        <v>20457</v>
      </c>
      <c r="F16" s="8" t="n">
        <v>21353</v>
      </c>
      <c r="G16" s="8" t="n">
        <v>24381</v>
      </c>
      <c r="H16" s="8" t="n">
        <v>27635</v>
      </c>
      <c r="I16" s="8" t="n">
        <v>30123</v>
      </c>
      <c r="J16" s="8" t="n">
        <v>31289</v>
      </c>
      <c r="K16" s="8" t="n">
        <v>31695</v>
      </c>
      <c r="L16" s="8" t="n">
        <v>30507</v>
      </c>
      <c r="M16" s="8" t="n">
        <v>32303</v>
      </c>
      <c r="N16" s="14" t="n">
        <f aca="false">SUM(B16:M16)</f>
        <v>324751</v>
      </c>
    </row>
    <row r="17" customFormat="false" ht="15" hidden="false" customHeight="false" outlineLevel="0" collapsed="false">
      <c r="A17" s="4" t="s">
        <v>48</v>
      </c>
      <c r="B17" s="8" t="n">
        <v>36690</v>
      </c>
      <c r="C17" s="8" t="n">
        <v>32523</v>
      </c>
      <c r="D17" s="8" t="n">
        <v>30799</v>
      </c>
      <c r="E17" s="8" t="n">
        <v>27276</v>
      </c>
      <c r="F17" s="8" t="n">
        <v>28471</v>
      </c>
      <c r="G17" s="8" t="n">
        <v>32508</v>
      </c>
      <c r="H17" s="8" t="n">
        <v>36846</v>
      </c>
      <c r="I17" s="8" t="n">
        <v>40163</v>
      </c>
      <c r="J17" s="8" t="n">
        <v>41719</v>
      </c>
      <c r="K17" s="8" t="n">
        <v>42260</v>
      </c>
      <c r="L17" s="8" t="n">
        <v>40677</v>
      </c>
      <c r="M17" s="8" t="n">
        <v>43070</v>
      </c>
      <c r="N17" s="14" t="n">
        <f aca="false">SUM(B17:M17)</f>
        <v>433002</v>
      </c>
    </row>
    <row r="18" customFormat="false" ht="15" hidden="false" customHeight="false" outlineLevel="0" collapsed="false">
      <c r="A18" s="3" t="s">
        <v>49</v>
      </c>
      <c r="B18" s="11" t="n">
        <f aca="false">SUM(B12:B17)</f>
        <v>2997341</v>
      </c>
      <c r="C18" s="11" t="n">
        <f aca="false">SUM(C12:C17)</f>
        <v>2658960</v>
      </c>
      <c r="D18" s="11" t="n">
        <f aca="false">SUM(D12:D17)</f>
        <v>2520849</v>
      </c>
      <c r="E18" s="11" t="n">
        <f aca="false">SUM(E12:E17)</f>
        <v>2295905</v>
      </c>
      <c r="F18" s="11" t="n">
        <f aca="false">SUM(F12:F17)</f>
        <v>2395053</v>
      </c>
      <c r="G18" s="11" t="n">
        <f aca="false">SUM(G12:G17)</f>
        <v>2732943</v>
      </c>
      <c r="H18" s="11" t="n">
        <f aca="false">SUM(H12:H17)</f>
        <v>3096370</v>
      </c>
      <c r="I18" s="11" t="n">
        <f aca="false">SUM(I12:I17)</f>
        <v>3374137</v>
      </c>
      <c r="J18" s="11" t="n">
        <f aca="false">SUM(J12:J17)</f>
        <v>3507448</v>
      </c>
      <c r="K18" s="11" t="n">
        <f aca="false">SUM(K12:K17)</f>
        <v>3550006</v>
      </c>
      <c r="L18" s="11" t="n">
        <f aca="false">SUM(L12:L17)</f>
        <v>3559642</v>
      </c>
      <c r="M18" s="11" t="n">
        <f aca="false">SUM(M12:M17)</f>
        <v>3885382</v>
      </c>
      <c r="N18" s="11" t="n">
        <f aca="false">SUM(N12:N17)</f>
        <v>36574036</v>
      </c>
    </row>
    <row r="19" customFormat="false" ht="15" hidden="false" customHeight="false" outlineLevel="0" collapsed="false">
      <c r="A19" s="3" t="s">
        <v>50</v>
      </c>
      <c r="B19" s="12" t="n">
        <f aca="false">B9-B18</f>
        <v>1588877</v>
      </c>
      <c r="C19" s="12" t="n">
        <f aca="false">C9-C18</f>
        <v>1406424</v>
      </c>
      <c r="D19" s="12" t="n">
        <f aca="false">D9-D18</f>
        <v>1329047</v>
      </c>
      <c r="E19" s="12" t="n">
        <f aca="false">E9-E18</f>
        <v>1113622</v>
      </c>
      <c r="F19" s="12" t="n">
        <f aca="false">F9-F18</f>
        <v>1163799</v>
      </c>
      <c r="G19" s="12" t="n">
        <f aca="false">G9-G18</f>
        <v>1330604</v>
      </c>
      <c r="H19" s="12" t="n">
        <f aca="false">H9-H18</f>
        <v>1509408</v>
      </c>
      <c r="I19" s="12" t="n">
        <f aca="false">I9-I18</f>
        <v>1646290</v>
      </c>
      <c r="J19" s="12" t="n">
        <f aca="false">J9-J18</f>
        <v>1707463</v>
      </c>
      <c r="K19" s="12" t="n">
        <f aca="false">K9-K18</f>
        <v>1732473</v>
      </c>
      <c r="L19" s="12" t="n">
        <f aca="false">L9-L18</f>
        <v>1524941</v>
      </c>
      <c r="M19" s="12" t="n">
        <f aca="false">M9-M18</f>
        <v>1498370</v>
      </c>
      <c r="N19" s="12" t="n">
        <f aca="false">N9-N18</f>
        <v>17551318</v>
      </c>
    </row>
    <row r="20" customFormat="false" ht="15" hidden="false" customHeight="false" outlineLevel="0" collapsed="false">
      <c r="A20" s="4" t="s">
        <v>51</v>
      </c>
      <c r="B20" s="10" t="n">
        <f aca="false">IF(B9=0,0,B19/B9)</f>
        <v>0.346446025897591</v>
      </c>
      <c r="C20" s="10" t="n">
        <f aca="false">IF(C9=0,0,C19/C9)</f>
        <v>0.345951083587676</v>
      </c>
      <c r="D20" s="10" t="n">
        <f aca="false">IF(D9=0,0,D19/D9)</f>
        <v>0.345216338311476</v>
      </c>
      <c r="E20" s="10" t="n">
        <f aca="false">IF(E9=0,0,E19/E9)</f>
        <v>0.326620672016969</v>
      </c>
      <c r="F20" s="10" t="n">
        <f aca="false">IF(F9=0,0,F19/F9)</f>
        <v>0.327015284704169</v>
      </c>
      <c r="G20" s="10" t="n">
        <f aca="false">IF(G9=0,0,G19/G9)</f>
        <v>0.327448901169348</v>
      </c>
      <c r="H20" s="10" t="n">
        <f aca="false">IF(H9=0,0,H19/H9)</f>
        <v>0.327720528431896</v>
      </c>
      <c r="I20" s="10" t="n">
        <f aca="false">IF(I9=0,0,I19/I9)</f>
        <v>0.327918322485319</v>
      </c>
      <c r="J20" s="10" t="n">
        <f aca="false">IF(J9=0,0,J19/J9)</f>
        <v>0.327419394118136</v>
      </c>
      <c r="K20" s="10" t="n">
        <f aca="false">IF(K9=0,0,K19/K9)</f>
        <v>0.327965903887171</v>
      </c>
      <c r="L20" s="10" t="n">
        <f aca="false">IF(L9=0,0,L19/L9)</f>
        <v>0.299914663601715</v>
      </c>
      <c r="M20" s="10" t="n">
        <f aca="false">IF(M9=0,0,M19/M9)</f>
        <v>0.278313339841806</v>
      </c>
      <c r="N20" s="10" t="n">
        <f aca="false">IF(N9=0,0,N19/N9)</f>
        <v>0.324271652800645</v>
      </c>
    </row>
    <row r="22" customFormat="false" ht="15" hidden="false" customHeight="false" outlineLevel="0" collapsed="false">
      <c r="A22" s="3" t="s">
        <v>52</v>
      </c>
    </row>
    <row r="23" customFormat="false" ht="15" hidden="false" customHeight="false" outlineLevel="0" collapsed="false">
      <c r="A23" s="4" t="s">
        <v>53</v>
      </c>
      <c r="B23" s="8" t="n">
        <v>405000</v>
      </c>
      <c r="C23" s="8" t="n">
        <v>405000</v>
      </c>
      <c r="D23" s="8" t="n">
        <v>405000</v>
      </c>
      <c r="E23" s="8" t="n">
        <v>430000</v>
      </c>
      <c r="F23" s="8" t="n">
        <v>430000</v>
      </c>
      <c r="G23" s="8" t="n">
        <v>475000</v>
      </c>
      <c r="H23" s="8" t="n">
        <v>430000</v>
      </c>
      <c r="I23" s="8" t="n">
        <v>430000</v>
      </c>
      <c r="J23" s="8" t="n">
        <v>455000</v>
      </c>
      <c r="K23" s="8" t="n">
        <v>455000</v>
      </c>
      <c r="L23" s="8" t="n">
        <v>455000</v>
      </c>
      <c r="M23" s="8" t="n">
        <v>455000</v>
      </c>
      <c r="N23" s="14" t="n">
        <f aca="false">SUM(B23:M23)</f>
        <v>5230000</v>
      </c>
    </row>
    <row r="24" customFormat="false" ht="15" hidden="false" customHeight="false" outlineLevel="0" collapsed="false">
      <c r="A24" s="4" t="s">
        <v>54</v>
      </c>
      <c r="B24" s="8" t="n">
        <v>55035</v>
      </c>
      <c r="C24" s="8" t="n">
        <v>48785</v>
      </c>
      <c r="D24" s="8" t="n">
        <v>46199</v>
      </c>
      <c r="E24" s="8" t="n">
        <v>40914</v>
      </c>
      <c r="F24" s="8" t="n">
        <v>42706</v>
      </c>
      <c r="G24" s="8" t="n">
        <v>48763</v>
      </c>
      <c r="H24" s="8" t="n">
        <v>55269</v>
      </c>
      <c r="I24" s="8" t="n">
        <v>60245</v>
      </c>
      <c r="J24" s="8" t="n">
        <v>62579</v>
      </c>
      <c r="K24" s="8" t="n">
        <v>63390</v>
      </c>
      <c r="L24" s="8" t="n">
        <v>91522</v>
      </c>
      <c r="M24" s="8" t="n">
        <v>96908</v>
      </c>
      <c r="N24" s="14" t="n">
        <f aca="false">SUM(B24:M24)</f>
        <v>712315</v>
      </c>
    </row>
    <row r="25" customFormat="false" ht="15" hidden="false" customHeight="false" outlineLevel="0" collapsed="false">
      <c r="A25" s="4" t="s">
        <v>55</v>
      </c>
      <c r="B25" s="8" t="n">
        <v>45000</v>
      </c>
      <c r="C25" s="8" t="n">
        <v>45000</v>
      </c>
      <c r="D25" s="8" t="n">
        <v>45000</v>
      </c>
      <c r="E25" s="8" t="n">
        <v>45000</v>
      </c>
      <c r="F25" s="8" t="n">
        <v>45000</v>
      </c>
      <c r="G25" s="8" t="n">
        <v>45000</v>
      </c>
      <c r="H25" s="8" t="n">
        <v>45000</v>
      </c>
      <c r="I25" s="8" t="n">
        <v>45000</v>
      </c>
      <c r="J25" s="8" t="n">
        <v>45000</v>
      </c>
      <c r="K25" s="8" t="n">
        <v>45000</v>
      </c>
      <c r="L25" s="8" t="n">
        <v>45000</v>
      </c>
      <c r="M25" s="8" t="n">
        <v>45000</v>
      </c>
      <c r="N25" s="14" t="n">
        <f aca="false">SUM(B25:M25)</f>
        <v>540000</v>
      </c>
    </row>
    <row r="26" customFormat="false" ht="15" hidden="false" customHeight="false" outlineLevel="0" collapsed="false">
      <c r="A26" s="4" t="s">
        <v>56</v>
      </c>
      <c r="B26" s="8" t="n">
        <v>68000</v>
      </c>
      <c r="C26" s="8" t="n">
        <v>68000</v>
      </c>
      <c r="D26" s="8" t="n">
        <v>68000</v>
      </c>
      <c r="E26" s="8" t="n">
        <v>68000</v>
      </c>
      <c r="F26" s="8" t="n">
        <v>68000</v>
      </c>
      <c r="G26" s="8" t="n">
        <v>68000</v>
      </c>
      <c r="H26" s="8" t="n">
        <v>68000</v>
      </c>
      <c r="I26" s="8" t="n">
        <v>68000</v>
      </c>
      <c r="J26" s="8" t="n">
        <v>68000</v>
      </c>
      <c r="K26" s="8" t="n">
        <v>68000</v>
      </c>
      <c r="L26" s="8" t="n">
        <v>68000</v>
      </c>
      <c r="M26" s="8" t="n">
        <v>68000</v>
      </c>
      <c r="N26" s="14" t="n">
        <f aca="false">SUM(B26:M26)</f>
        <v>816000</v>
      </c>
    </row>
    <row r="27" customFormat="false" ht="15" hidden="false" customHeight="false" outlineLevel="0" collapsed="false">
      <c r="A27" s="4" t="s">
        <v>57</v>
      </c>
      <c r="B27" s="8" t="n">
        <v>36000</v>
      </c>
      <c r="C27" s="8" t="n">
        <v>36000</v>
      </c>
      <c r="D27" s="8" t="n">
        <v>36000</v>
      </c>
      <c r="E27" s="8" t="n">
        <v>36000</v>
      </c>
      <c r="F27" s="8" t="n">
        <v>36000</v>
      </c>
      <c r="G27" s="8" t="n">
        <v>36000</v>
      </c>
      <c r="H27" s="8" t="n">
        <v>36000</v>
      </c>
      <c r="I27" s="8" t="n">
        <v>36000</v>
      </c>
      <c r="J27" s="8" t="n">
        <v>36000</v>
      </c>
      <c r="K27" s="8" t="n">
        <v>36000</v>
      </c>
      <c r="L27" s="8" t="n">
        <v>36000</v>
      </c>
      <c r="M27" s="8" t="n">
        <v>36000</v>
      </c>
      <c r="N27" s="14" t="n">
        <f aca="false">SUM(B27:M27)</f>
        <v>432000</v>
      </c>
    </row>
    <row r="28" customFormat="false" ht="15" hidden="false" customHeight="false" outlineLevel="0" collapsed="false">
      <c r="A28" s="4" t="s">
        <v>58</v>
      </c>
      <c r="B28" s="8" t="n">
        <v>38000</v>
      </c>
      <c r="C28" s="8" t="n">
        <v>38000</v>
      </c>
      <c r="D28" s="8" t="n">
        <v>38000</v>
      </c>
      <c r="E28" s="8" t="n">
        <v>38000</v>
      </c>
      <c r="F28" s="8" t="n">
        <v>38000</v>
      </c>
      <c r="G28" s="8" t="n">
        <v>38000</v>
      </c>
      <c r="H28" s="8" t="n">
        <v>38000</v>
      </c>
      <c r="I28" s="8" t="n">
        <v>38000</v>
      </c>
      <c r="J28" s="8" t="n">
        <v>98000</v>
      </c>
      <c r="K28" s="8" t="n">
        <v>38000</v>
      </c>
      <c r="L28" s="8" t="n">
        <v>38000</v>
      </c>
      <c r="M28" s="8" t="n">
        <v>178000</v>
      </c>
      <c r="N28" s="14" t="n">
        <f aca="false">SUM(B28:M28)</f>
        <v>656000</v>
      </c>
    </row>
    <row r="29" customFormat="false" ht="15" hidden="false" customHeight="false" outlineLevel="0" collapsed="false">
      <c r="A29" s="4" t="s">
        <v>59</v>
      </c>
      <c r="B29" s="8" t="n">
        <v>24000</v>
      </c>
      <c r="C29" s="8" t="n">
        <v>24000</v>
      </c>
      <c r="D29" s="8" t="n">
        <v>24000</v>
      </c>
      <c r="E29" s="8" t="n">
        <v>24000</v>
      </c>
      <c r="F29" s="8" t="n">
        <v>24000</v>
      </c>
      <c r="G29" s="8" t="n">
        <v>24000</v>
      </c>
      <c r="H29" s="8" t="n">
        <v>24000</v>
      </c>
      <c r="I29" s="8" t="n">
        <v>24000</v>
      </c>
      <c r="J29" s="8" t="n">
        <v>24000</v>
      </c>
      <c r="K29" s="8" t="n">
        <v>24000</v>
      </c>
      <c r="L29" s="8" t="n">
        <v>24000</v>
      </c>
      <c r="M29" s="8" t="n">
        <v>24000</v>
      </c>
      <c r="N29" s="14" t="n">
        <f aca="false">SUM(B29:M29)</f>
        <v>288000</v>
      </c>
    </row>
    <row r="30" customFormat="false" ht="15" hidden="false" customHeight="false" outlineLevel="0" collapsed="false">
      <c r="A30" s="4" t="s">
        <v>60</v>
      </c>
      <c r="B30" s="8" t="n">
        <v>14000</v>
      </c>
      <c r="C30" s="8" t="n">
        <v>14000</v>
      </c>
      <c r="D30" s="8" t="n">
        <v>14000</v>
      </c>
      <c r="E30" s="8" t="n">
        <v>14000</v>
      </c>
      <c r="F30" s="8" t="n">
        <v>14000</v>
      </c>
      <c r="G30" s="8" t="n">
        <v>14000</v>
      </c>
      <c r="H30" s="8" t="n">
        <v>14000</v>
      </c>
      <c r="I30" s="8" t="n">
        <v>14000</v>
      </c>
      <c r="J30" s="8" t="n">
        <v>14000</v>
      </c>
      <c r="K30" s="8" t="n">
        <v>14000</v>
      </c>
      <c r="L30" s="8" t="n">
        <v>14000</v>
      </c>
      <c r="M30" s="8" t="n">
        <v>14000</v>
      </c>
      <c r="N30" s="14" t="n">
        <f aca="false">SUM(B30:M30)</f>
        <v>168000</v>
      </c>
    </row>
    <row r="31" customFormat="false" ht="15" hidden="false" customHeight="false" outlineLevel="0" collapsed="false">
      <c r="A31" s="4" t="s">
        <v>61</v>
      </c>
      <c r="B31" s="8" t="n">
        <v>62500</v>
      </c>
      <c r="C31" s="8" t="n">
        <v>62500</v>
      </c>
      <c r="D31" s="8" t="n">
        <v>62500</v>
      </c>
      <c r="E31" s="8" t="n">
        <v>62500</v>
      </c>
      <c r="F31" s="8" t="n">
        <v>62500</v>
      </c>
      <c r="G31" s="8" t="n">
        <v>62500</v>
      </c>
      <c r="H31" s="8" t="n">
        <v>62500</v>
      </c>
      <c r="I31" s="8" t="n">
        <v>62500</v>
      </c>
      <c r="J31" s="8" t="n">
        <v>62500</v>
      </c>
      <c r="K31" s="8" t="n">
        <v>62500</v>
      </c>
      <c r="L31" s="8" t="n">
        <v>62500</v>
      </c>
      <c r="M31" s="8" t="n">
        <v>62500</v>
      </c>
      <c r="N31" s="14" t="n">
        <f aca="false">SUM(B31:M31)</f>
        <v>750000</v>
      </c>
    </row>
    <row r="32" customFormat="false" ht="15" hidden="false" customHeight="false" outlineLevel="0" collapsed="false">
      <c r="A32" s="4" t="s">
        <v>62</v>
      </c>
      <c r="B32" s="8" t="n">
        <v>28000</v>
      </c>
      <c r="C32" s="8" t="n">
        <v>28000</v>
      </c>
      <c r="D32" s="8" t="n">
        <v>28000</v>
      </c>
      <c r="E32" s="8" t="n">
        <v>28000</v>
      </c>
      <c r="F32" s="8" t="n">
        <v>28000</v>
      </c>
      <c r="G32" s="8" t="n">
        <v>28000</v>
      </c>
      <c r="H32" s="8" t="n">
        <v>28000</v>
      </c>
      <c r="I32" s="8" t="n">
        <v>28000</v>
      </c>
      <c r="J32" s="8" t="n">
        <v>58000</v>
      </c>
      <c r="K32" s="8" t="n">
        <v>58000</v>
      </c>
      <c r="L32" s="8" t="n">
        <v>58000</v>
      </c>
      <c r="M32" s="8" t="n">
        <v>58000</v>
      </c>
      <c r="N32" s="14" t="n">
        <f aca="false">SUM(B32:M32)</f>
        <v>456000</v>
      </c>
    </row>
    <row r="33" customFormat="false" ht="15" hidden="false" customHeight="false" outlineLevel="0" collapsed="false">
      <c r="A33" s="3" t="s">
        <v>63</v>
      </c>
      <c r="B33" s="11" t="n">
        <f aca="false">SUM(B23:B32)</f>
        <v>775535</v>
      </c>
      <c r="C33" s="11" t="n">
        <f aca="false">SUM(C23:C32)</f>
        <v>769285</v>
      </c>
      <c r="D33" s="11" t="n">
        <f aca="false">SUM(D23:D32)</f>
        <v>766699</v>
      </c>
      <c r="E33" s="11" t="n">
        <f aca="false">SUM(E23:E32)</f>
        <v>786414</v>
      </c>
      <c r="F33" s="11" t="n">
        <f aca="false">SUM(F23:F32)</f>
        <v>788206</v>
      </c>
      <c r="G33" s="11" t="n">
        <f aca="false">SUM(G23:G32)</f>
        <v>839263</v>
      </c>
      <c r="H33" s="11" t="n">
        <f aca="false">SUM(H23:H32)</f>
        <v>800769</v>
      </c>
      <c r="I33" s="11" t="n">
        <f aca="false">SUM(I23:I32)</f>
        <v>805745</v>
      </c>
      <c r="J33" s="11" t="n">
        <f aca="false">SUM(J23:J32)</f>
        <v>923079</v>
      </c>
      <c r="K33" s="11" t="n">
        <f aca="false">SUM(K23:K32)</f>
        <v>863890</v>
      </c>
      <c r="L33" s="11" t="n">
        <f aca="false">SUM(L23:L32)</f>
        <v>892022</v>
      </c>
      <c r="M33" s="11" t="n">
        <f aca="false">SUM(M23:M32)</f>
        <v>1037408</v>
      </c>
      <c r="N33" s="11" t="n">
        <f aca="false">SUM(N23:N32)</f>
        <v>10048315</v>
      </c>
    </row>
    <row r="35" customFormat="false" ht="15" hidden="false" customHeight="false" outlineLevel="0" collapsed="false">
      <c r="A35" s="3" t="s">
        <v>64</v>
      </c>
      <c r="B35" s="12" t="n">
        <f aca="false">B19-B33</f>
        <v>813342</v>
      </c>
      <c r="C35" s="12" t="n">
        <f aca="false">C19-C33</f>
        <v>637139</v>
      </c>
      <c r="D35" s="12" t="n">
        <f aca="false">D19-D33</f>
        <v>562348</v>
      </c>
      <c r="E35" s="12" t="n">
        <f aca="false">E19-E33</f>
        <v>327208</v>
      </c>
      <c r="F35" s="12" t="n">
        <f aca="false">F19-F33</f>
        <v>375593</v>
      </c>
      <c r="G35" s="12" t="n">
        <f aca="false">G19-G33</f>
        <v>491341</v>
      </c>
      <c r="H35" s="12" t="n">
        <f aca="false">H19-H33</f>
        <v>708639</v>
      </c>
      <c r="I35" s="12" t="n">
        <f aca="false">I19-I33</f>
        <v>840545</v>
      </c>
      <c r="J35" s="12" t="n">
        <f aca="false">J19-J33</f>
        <v>784384</v>
      </c>
      <c r="K35" s="12" t="n">
        <f aca="false">K19-K33</f>
        <v>868583</v>
      </c>
      <c r="L35" s="12" t="n">
        <f aca="false">L19-L33</f>
        <v>632919</v>
      </c>
      <c r="M35" s="12" t="n">
        <f aca="false">M19-M33</f>
        <v>460962</v>
      </c>
      <c r="N35" s="12" t="n">
        <f aca="false">N19-N33</f>
        <v>7503003</v>
      </c>
    </row>
    <row r="36" customFormat="false" ht="15" hidden="false" customHeight="false" outlineLevel="0" collapsed="false">
      <c r="A36" s="4" t="s">
        <v>65</v>
      </c>
      <c r="B36" s="10" t="n">
        <f aca="false">IF(B9=0,0,B35/B9)</f>
        <v>0.177344818759161</v>
      </c>
      <c r="C36" s="10" t="n">
        <f aca="false">IF(C9=0,0,C35/C9)</f>
        <v>0.156722956552198</v>
      </c>
      <c r="D36" s="10" t="n">
        <f aca="false">IF(D9=0,0,D35/D9)</f>
        <v>0.146068361327163</v>
      </c>
      <c r="E36" s="10" t="n">
        <f aca="false">IF(E9=0,0,E35/E9)</f>
        <v>0.0959687370124947</v>
      </c>
      <c r="F36" s="10" t="n">
        <f aca="false">IF(F9=0,0,F35/F9)</f>
        <v>0.105537684624143</v>
      </c>
      <c r="G36" s="10" t="n">
        <f aca="false">IF(G9=0,0,G35/G9)</f>
        <v>0.120914314513896</v>
      </c>
      <c r="H36" s="10" t="n">
        <f aca="false">IF(H9=0,0,H35/H9)</f>
        <v>0.153858696619768</v>
      </c>
      <c r="I36" s="10" t="n">
        <f aca="false">IF(I9=0,0,I35/I9)</f>
        <v>0.167425001897249</v>
      </c>
      <c r="J36" s="10" t="n">
        <f aca="false">IF(J9=0,0,J35/J9)</f>
        <v>0.150411771169249</v>
      </c>
      <c r="K36" s="10" t="n">
        <f aca="false">IF(K9=0,0,K35/K9)</f>
        <v>0.164427156265079</v>
      </c>
      <c r="L36" s="10" t="n">
        <f aca="false">IF(L9=0,0,L35/L9)</f>
        <v>0.124478054542526</v>
      </c>
      <c r="M36" s="10" t="n">
        <f aca="false">IF(M9=0,0,M35/M9)</f>
        <v>0.0856209572803502</v>
      </c>
      <c r="N36" s="10" t="n">
        <f aca="false">IF(N9=0,0,N35/N9)</f>
        <v>0.138622705359119</v>
      </c>
    </row>
    <row r="38" customFormat="false" ht="15" hidden="false" customHeight="false" outlineLevel="0" collapsed="false">
      <c r="A38" s="3" t="s">
        <v>80</v>
      </c>
    </row>
    <row r="39" customFormat="false" ht="15" hidden="false" customHeight="false" outlineLevel="0" collapsed="false">
      <c r="A39" s="4" t="s">
        <v>81</v>
      </c>
      <c r="B39" s="8" t="n">
        <v>95000</v>
      </c>
      <c r="C39" s="8" t="n">
        <v>95000</v>
      </c>
      <c r="D39" s="8" t="n">
        <v>95000</v>
      </c>
      <c r="E39" s="8" t="n">
        <v>95000</v>
      </c>
      <c r="F39" s="8" t="n">
        <v>95000</v>
      </c>
      <c r="G39" s="8" t="n">
        <v>95000</v>
      </c>
      <c r="H39" s="8" t="n">
        <v>95000</v>
      </c>
      <c r="I39" s="8" t="n">
        <v>95000</v>
      </c>
      <c r="J39" s="8" t="n">
        <v>95000</v>
      </c>
      <c r="K39" s="8" t="n">
        <v>95000</v>
      </c>
      <c r="L39" s="8" t="n">
        <v>95000</v>
      </c>
      <c r="M39" s="8" t="n">
        <v>95000</v>
      </c>
      <c r="N39" s="14" t="n">
        <f aca="false">SUM(B39:M39)</f>
        <v>1140000</v>
      </c>
    </row>
    <row r="40" customFormat="false" ht="15" hidden="false" customHeight="false" outlineLevel="0" collapsed="false">
      <c r="A40" s="4" t="s">
        <v>82</v>
      </c>
      <c r="B40" s="8" t="n">
        <v>340000</v>
      </c>
      <c r="C40" s="8" t="n">
        <v>340000</v>
      </c>
      <c r="D40" s="8" t="n">
        <v>340000</v>
      </c>
      <c r="E40" s="8" t="n">
        <v>340000</v>
      </c>
      <c r="F40" s="8" t="n">
        <v>340000</v>
      </c>
      <c r="G40" s="8" t="n">
        <v>340000</v>
      </c>
      <c r="H40" s="8" t="n">
        <v>340000</v>
      </c>
      <c r="I40" s="8" t="n">
        <v>340000</v>
      </c>
      <c r="J40" s="8" t="n">
        <v>425000</v>
      </c>
      <c r="K40" s="8" t="n">
        <v>425000</v>
      </c>
      <c r="L40" s="8" t="n">
        <v>425000</v>
      </c>
      <c r="M40" s="8" t="n">
        <v>425000</v>
      </c>
      <c r="N40" s="14" t="n">
        <f aca="false">SUM(B40:M40)</f>
        <v>4420000</v>
      </c>
    </row>
    <row r="41" customFormat="false" ht="15" hidden="false" customHeight="false" outlineLevel="0" collapsed="false">
      <c r="A41" s="3" t="s">
        <v>83</v>
      </c>
      <c r="B41" s="12" t="n">
        <f aca="false">B35-SUM(B39:B40)</f>
        <v>378342</v>
      </c>
      <c r="C41" s="12" t="n">
        <f aca="false">C35-SUM(C39:C40)</f>
        <v>202139</v>
      </c>
      <c r="D41" s="12" t="n">
        <f aca="false">D35-SUM(D39:D40)</f>
        <v>127348</v>
      </c>
      <c r="E41" s="12" t="n">
        <f aca="false">E35-SUM(E39:E40)</f>
        <v>-107792</v>
      </c>
      <c r="F41" s="12" t="n">
        <f aca="false">F35-SUM(F39:F40)</f>
        <v>-59407</v>
      </c>
      <c r="G41" s="12" t="n">
        <f aca="false">G35-SUM(G39:G40)</f>
        <v>56341</v>
      </c>
      <c r="H41" s="12" t="n">
        <f aca="false">H35-SUM(H39:H40)</f>
        <v>273639</v>
      </c>
      <c r="I41" s="12" t="n">
        <f aca="false">I35-SUM(I39:I40)</f>
        <v>405545</v>
      </c>
      <c r="J41" s="12" t="n">
        <f aca="false">J35-SUM(J39:J40)</f>
        <v>264384</v>
      </c>
      <c r="K41" s="12" t="n">
        <f aca="false">K35-SUM(K39:K40)</f>
        <v>348583</v>
      </c>
      <c r="L41" s="12" t="n">
        <f aca="false">L35-SUM(L39:L40)</f>
        <v>112919</v>
      </c>
      <c r="M41" s="12" t="n">
        <f aca="false">M35-SUM(M39:M40)</f>
        <v>-59038</v>
      </c>
      <c r="N41" s="12" t="n">
        <f aca="false">N35-SUM(N39:N40)</f>
        <v>1943003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14" min="2" style="0" width="11"/>
    <col collapsed="false" customWidth="true" hidden="false" outlineLevel="0" max="15" min="15" style="0" width="55"/>
  </cols>
  <sheetData>
    <row r="1" customFormat="false" ht="15" hidden="false" customHeight="false" outlineLevel="0" collapsed="false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</row>
    <row r="2" customFormat="false" ht="15" hidden="false" customHeight="false" outlineLevel="0" collapsed="false">
      <c r="A2" s="3" t="s">
        <v>84</v>
      </c>
    </row>
    <row r="4" customFormat="false" ht="15" hidden="false" customHeight="false" outlineLevel="0" collapsed="false">
      <c r="A4" s="6" t="s">
        <v>85</v>
      </c>
      <c r="B4" s="6" t="s">
        <v>67</v>
      </c>
      <c r="C4" s="6" t="s">
        <v>68</v>
      </c>
      <c r="D4" s="6" t="s">
        <v>69</v>
      </c>
      <c r="E4" s="6" t="s">
        <v>70</v>
      </c>
      <c r="F4" s="6" t="s">
        <v>71</v>
      </c>
      <c r="G4" s="6" t="s">
        <v>72</v>
      </c>
      <c r="H4" s="6" t="s">
        <v>73</v>
      </c>
      <c r="I4" s="6" t="s">
        <v>74</v>
      </c>
      <c r="J4" s="6" t="s">
        <v>75</v>
      </c>
      <c r="K4" s="6" t="s">
        <v>76</v>
      </c>
      <c r="L4" s="6" t="s">
        <v>77</v>
      </c>
      <c r="M4" s="6" t="s">
        <v>78</v>
      </c>
      <c r="N4" s="6" t="s">
        <v>79</v>
      </c>
      <c r="O4" s="6" t="s">
        <v>86</v>
      </c>
    </row>
    <row r="5" customFormat="false" ht="15" hidden="false" customHeight="false" outlineLevel="0" collapsed="false">
      <c r="A5" s="3" t="s">
        <v>64</v>
      </c>
      <c r="B5" s="7" t="n">
        <f aca="false">'P&amp;L Trend'!B35</f>
        <v>813342</v>
      </c>
      <c r="C5" s="7" t="n">
        <f aca="false">'P&amp;L Trend'!C35</f>
        <v>637139</v>
      </c>
      <c r="D5" s="7" t="n">
        <f aca="false">'P&amp;L Trend'!D35</f>
        <v>562348</v>
      </c>
      <c r="E5" s="7" t="n">
        <f aca="false">'P&amp;L Trend'!E35</f>
        <v>327208</v>
      </c>
      <c r="F5" s="7" t="n">
        <f aca="false">'P&amp;L Trend'!F35</f>
        <v>375593</v>
      </c>
      <c r="G5" s="7" t="n">
        <f aca="false">'P&amp;L Trend'!G35</f>
        <v>491341</v>
      </c>
      <c r="H5" s="7" t="n">
        <f aca="false">'P&amp;L Trend'!H35</f>
        <v>708639</v>
      </c>
      <c r="I5" s="7" t="n">
        <f aca="false">'P&amp;L Trend'!I35</f>
        <v>840545</v>
      </c>
      <c r="J5" s="7" t="n">
        <f aca="false">'P&amp;L Trend'!J35</f>
        <v>784384</v>
      </c>
      <c r="K5" s="7" t="n">
        <f aca="false">'P&amp;L Trend'!K35</f>
        <v>868583</v>
      </c>
      <c r="L5" s="7" t="n">
        <f aca="false">'P&amp;L Trend'!L35</f>
        <v>632919</v>
      </c>
      <c r="M5" s="7" t="n">
        <f aca="false">'P&amp;L Trend'!M35</f>
        <v>460962</v>
      </c>
      <c r="N5" s="12" t="n">
        <f aca="false">SUM(B5:M5)</f>
        <v>7503003</v>
      </c>
    </row>
    <row r="6" customFormat="false" ht="15" hidden="false" customHeight="false" outlineLevel="0" collapsed="false">
      <c r="A6" s="4" t="s">
        <v>87</v>
      </c>
      <c r="B6" s="8" t="n">
        <v>62500</v>
      </c>
      <c r="C6" s="8" t="n">
        <v>62500</v>
      </c>
      <c r="D6" s="8" t="n">
        <v>62500</v>
      </c>
      <c r="E6" s="8" t="n">
        <v>62500</v>
      </c>
      <c r="F6" s="8" t="n">
        <v>62500</v>
      </c>
      <c r="G6" s="8" t="n">
        <v>62500</v>
      </c>
      <c r="H6" s="8" t="n">
        <v>62500</v>
      </c>
      <c r="I6" s="8" t="n">
        <v>62500</v>
      </c>
      <c r="J6" s="8" t="n">
        <v>62500</v>
      </c>
      <c r="K6" s="8" t="n">
        <v>62500</v>
      </c>
      <c r="L6" s="8" t="n">
        <v>62500</v>
      </c>
      <c r="M6" s="8" t="n">
        <v>62500</v>
      </c>
      <c r="N6" s="14" t="n">
        <f aca="false">SUM(B6:M6)</f>
        <v>750000</v>
      </c>
      <c r="O6" s="4" t="s">
        <v>88</v>
      </c>
    </row>
    <row r="7" customFormat="false" ht="15" hidden="false" customHeight="false" outlineLevel="0" collapsed="false">
      <c r="A7" s="4" t="s">
        <v>89</v>
      </c>
      <c r="B7" s="8" t="n">
        <v>0</v>
      </c>
      <c r="C7" s="8" t="n">
        <v>0</v>
      </c>
      <c r="D7" s="8" t="n">
        <v>0</v>
      </c>
      <c r="E7" s="8" t="n">
        <v>0</v>
      </c>
      <c r="F7" s="8" t="n">
        <v>0</v>
      </c>
      <c r="G7" s="8" t="n">
        <v>0</v>
      </c>
      <c r="H7" s="8" t="n">
        <v>0</v>
      </c>
      <c r="I7" s="8" t="n">
        <v>0</v>
      </c>
      <c r="J7" s="8" t="n">
        <v>60000</v>
      </c>
      <c r="K7" s="8" t="n">
        <v>0</v>
      </c>
      <c r="L7" s="8" t="n">
        <v>0</v>
      </c>
      <c r="M7" s="8" t="n">
        <v>140000</v>
      </c>
      <c r="N7" s="14" t="n">
        <f aca="false">SUM(B7:M7)</f>
        <v>200000</v>
      </c>
      <c r="O7" s="4" t="s">
        <v>90</v>
      </c>
    </row>
    <row r="8" customFormat="false" ht="15" hidden="false" customHeight="false" outlineLevel="0" collapsed="false">
      <c r="A8" s="4" t="s">
        <v>91</v>
      </c>
      <c r="B8" s="8" t="n">
        <v>0</v>
      </c>
      <c r="C8" s="8" t="n">
        <v>0</v>
      </c>
      <c r="D8" s="8" t="n">
        <v>0</v>
      </c>
      <c r="E8" s="8" t="n">
        <v>0</v>
      </c>
      <c r="F8" s="8" t="n">
        <v>0</v>
      </c>
      <c r="G8" s="8" t="n">
        <v>0</v>
      </c>
      <c r="H8" s="8" t="n">
        <v>0</v>
      </c>
      <c r="I8" s="8" t="n">
        <v>0</v>
      </c>
      <c r="J8" s="8" t="n">
        <v>55000</v>
      </c>
      <c r="K8" s="8" t="n">
        <v>55000</v>
      </c>
      <c r="L8" s="8" t="n">
        <v>55000</v>
      </c>
      <c r="M8" s="8" t="n">
        <v>55000</v>
      </c>
      <c r="N8" s="14" t="n">
        <f aca="false">SUM(B8:M8)</f>
        <v>220000</v>
      </c>
      <c r="O8" s="4" t="s">
        <v>92</v>
      </c>
    </row>
    <row r="9" customFormat="false" ht="15" hidden="false" customHeight="false" outlineLevel="0" collapsed="false">
      <c r="A9" s="4" t="s">
        <v>93</v>
      </c>
      <c r="B9" s="8" t="n">
        <v>0</v>
      </c>
      <c r="C9" s="8" t="n">
        <v>0</v>
      </c>
      <c r="D9" s="8" t="n">
        <v>0</v>
      </c>
      <c r="E9" s="8" t="n">
        <v>0</v>
      </c>
      <c r="F9" s="8" t="n">
        <v>0</v>
      </c>
      <c r="G9" s="8" t="n">
        <v>45000</v>
      </c>
      <c r="H9" s="8" t="n">
        <v>0</v>
      </c>
      <c r="I9" s="8" t="n">
        <v>0</v>
      </c>
      <c r="J9" s="8" t="n">
        <v>0</v>
      </c>
      <c r="K9" s="8" t="n">
        <v>0</v>
      </c>
      <c r="L9" s="8" t="n">
        <v>0</v>
      </c>
      <c r="M9" s="8" t="n">
        <v>0</v>
      </c>
      <c r="N9" s="14" t="n">
        <f aca="false">SUM(B9:M9)</f>
        <v>45000</v>
      </c>
      <c r="O9" s="4" t="s">
        <v>94</v>
      </c>
    </row>
    <row r="10" customFormat="false" ht="15" hidden="false" customHeight="false" outlineLevel="0" collapsed="false">
      <c r="A10" s="4" t="s">
        <v>95</v>
      </c>
      <c r="B10" s="8" t="n">
        <v>0</v>
      </c>
      <c r="C10" s="8" t="n">
        <v>0</v>
      </c>
      <c r="D10" s="8" t="n">
        <v>0</v>
      </c>
      <c r="E10" s="8" t="n">
        <v>0</v>
      </c>
      <c r="F10" s="8" t="n">
        <v>0</v>
      </c>
      <c r="G10" s="8" t="n">
        <v>0</v>
      </c>
      <c r="H10" s="8" t="n">
        <v>0</v>
      </c>
      <c r="I10" s="8" t="n">
        <v>0</v>
      </c>
      <c r="J10" s="8" t="n">
        <v>0</v>
      </c>
      <c r="K10" s="8" t="n">
        <v>0</v>
      </c>
      <c r="L10" s="8" t="n">
        <v>30507</v>
      </c>
      <c r="M10" s="8" t="n">
        <v>32303</v>
      </c>
      <c r="N10" s="14" t="n">
        <f aca="false">SUM(B10:M10)</f>
        <v>62810</v>
      </c>
      <c r="O10" s="4" t="s">
        <v>96</v>
      </c>
    </row>
    <row r="11" customFormat="false" ht="15" hidden="false" customHeight="false" outlineLevel="0" collapsed="false">
      <c r="A11" s="3" t="s">
        <v>97</v>
      </c>
      <c r="B11" s="11" t="n">
        <f aca="false">SUM(B5:B10)</f>
        <v>875842</v>
      </c>
      <c r="C11" s="11" t="n">
        <f aca="false">SUM(C5:C10)</f>
        <v>699639</v>
      </c>
      <c r="D11" s="11" t="n">
        <f aca="false">SUM(D5:D10)</f>
        <v>624848</v>
      </c>
      <c r="E11" s="11" t="n">
        <f aca="false">SUM(E5:E10)</f>
        <v>389708</v>
      </c>
      <c r="F11" s="11" t="n">
        <f aca="false">SUM(F5:F10)</f>
        <v>438093</v>
      </c>
      <c r="G11" s="11" t="n">
        <f aca="false">SUM(G5:G10)</f>
        <v>598841</v>
      </c>
      <c r="H11" s="11" t="n">
        <f aca="false">SUM(H5:H10)</f>
        <v>771139</v>
      </c>
      <c r="I11" s="11" t="n">
        <f aca="false">SUM(I5:I10)</f>
        <v>903045</v>
      </c>
      <c r="J11" s="11" t="n">
        <f aca="false">SUM(J5:J10)</f>
        <v>961884</v>
      </c>
      <c r="K11" s="11" t="n">
        <f aca="false">SUM(K5:K10)</f>
        <v>986083</v>
      </c>
      <c r="L11" s="11" t="n">
        <f aca="false">SUM(L5:L10)</f>
        <v>780926</v>
      </c>
      <c r="M11" s="11" t="n">
        <f aca="false">SUM(M5:M10)</f>
        <v>750765</v>
      </c>
      <c r="N11" s="12" t="n">
        <f aca="false">SUM(B11:M11)</f>
        <v>8780813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6"/>
    <col collapsed="false" customWidth="true" hidden="false" outlineLevel="0" max="4" min="2" style="0" width="15"/>
  </cols>
  <sheetData>
    <row r="1" customFormat="false" ht="15" hidden="false" customHeight="false" outlineLevel="0" collapsed="false">
      <c r="A1" s="1" t="s">
        <v>0</v>
      </c>
      <c r="B1" s="2"/>
      <c r="C1" s="2"/>
      <c r="D1" s="2"/>
    </row>
    <row r="2" customFormat="false" ht="15" hidden="false" customHeight="false" outlineLevel="0" collapsed="false">
      <c r="A2" s="3" t="s">
        <v>98</v>
      </c>
    </row>
    <row r="4" customFormat="false" ht="15" hidden="false" customHeight="false" outlineLevel="0" collapsed="false">
      <c r="A4" s="6" t="s">
        <v>28</v>
      </c>
      <c r="B4" s="6" t="s">
        <v>78</v>
      </c>
      <c r="C4" s="6" t="s">
        <v>77</v>
      </c>
      <c r="D4" s="6" t="s">
        <v>69</v>
      </c>
    </row>
    <row r="5" customFormat="false" ht="15" hidden="false" customHeight="false" outlineLevel="0" collapsed="false">
      <c r="A5" s="3" t="s">
        <v>99</v>
      </c>
    </row>
    <row r="6" customFormat="false" ht="15" hidden="false" customHeight="false" outlineLevel="0" collapsed="false">
      <c r="A6" s="4" t="s">
        <v>100</v>
      </c>
      <c r="B6" s="8" t="n">
        <v>1920000</v>
      </c>
      <c r="C6" s="8" t="n">
        <v>2310000</v>
      </c>
      <c r="D6" s="8" t="n">
        <v>3050000</v>
      </c>
    </row>
    <row r="7" customFormat="false" ht="15" hidden="false" customHeight="false" outlineLevel="0" collapsed="false">
      <c r="A7" s="4" t="s">
        <v>101</v>
      </c>
      <c r="B7" s="8" t="n">
        <v>9240000</v>
      </c>
      <c r="C7" s="8" t="n">
        <v>8410000</v>
      </c>
      <c r="D7" s="8" t="n">
        <v>6020000</v>
      </c>
    </row>
    <row r="8" customFormat="false" ht="15" hidden="false" customHeight="false" outlineLevel="0" collapsed="false">
      <c r="A8" s="4" t="s">
        <v>102</v>
      </c>
      <c r="B8" s="8" t="n">
        <v>410000</v>
      </c>
      <c r="C8" s="8" t="n">
        <v>365000</v>
      </c>
      <c r="D8" s="8" t="n">
        <v>240000</v>
      </c>
    </row>
    <row r="9" customFormat="false" ht="15" hidden="false" customHeight="false" outlineLevel="0" collapsed="false">
      <c r="A9" s="4" t="s">
        <v>103</v>
      </c>
      <c r="B9" s="8" t="n">
        <v>285000</v>
      </c>
      <c r="C9" s="8" t="n">
        <v>300000</v>
      </c>
      <c r="D9" s="8" t="n">
        <v>260000</v>
      </c>
    </row>
    <row r="10" customFormat="false" ht="15" hidden="false" customHeight="false" outlineLevel="0" collapsed="false">
      <c r="A10" s="4" t="s">
        <v>104</v>
      </c>
      <c r="B10" s="8" t="n">
        <v>1150000</v>
      </c>
      <c r="C10" s="8" t="n">
        <v>1170000</v>
      </c>
      <c r="D10" s="8" t="n">
        <v>1220000</v>
      </c>
    </row>
    <row r="11" customFormat="false" ht="15" hidden="false" customHeight="false" outlineLevel="0" collapsed="false">
      <c r="A11" s="4" t="s">
        <v>105</v>
      </c>
      <c r="B11" s="8" t="n">
        <v>72400000</v>
      </c>
      <c r="C11" s="8" t="n">
        <v>72440000</v>
      </c>
      <c r="D11" s="8" t="n">
        <v>58700000</v>
      </c>
    </row>
    <row r="12" customFormat="false" ht="15" hidden="false" customHeight="false" outlineLevel="0" collapsed="false">
      <c r="A12" s="3" t="s">
        <v>106</v>
      </c>
      <c r="B12" s="11" t="n">
        <f aca="false">SUM(B6:B11)</f>
        <v>85405000</v>
      </c>
      <c r="C12" s="11" t="n">
        <f aca="false">SUM(C6:C11)</f>
        <v>84995000</v>
      </c>
      <c r="D12" s="11" t="n">
        <f aca="false">SUM(D6:D11)</f>
        <v>69490000</v>
      </c>
    </row>
    <row r="14" customFormat="false" ht="15" hidden="false" customHeight="false" outlineLevel="0" collapsed="false">
      <c r="A14" s="3" t="s">
        <v>107</v>
      </c>
    </row>
    <row r="15" customFormat="false" ht="15" hidden="false" customHeight="false" outlineLevel="0" collapsed="false">
      <c r="A15" s="4" t="s">
        <v>108</v>
      </c>
      <c r="B15" s="8" t="n">
        <v>1480000</v>
      </c>
      <c r="C15" s="8" t="n">
        <v>1390000</v>
      </c>
      <c r="D15" s="8" t="n">
        <v>1110000</v>
      </c>
    </row>
    <row r="16" customFormat="false" ht="15" hidden="false" customHeight="false" outlineLevel="0" collapsed="false">
      <c r="A16" s="4" t="s">
        <v>109</v>
      </c>
      <c r="B16" s="8" t="n">
        <v>2140000</v>
      </c>
      <c r="C16" s="8" t="n">
        <v>1980000</v>
      </c>
      <c r="D16" s="8" t="n">
        <v>1310000</v>
      </c>
    </row>
    <row r="17" customFormat="false" ht="15" hidden="false" customHeight="false" outlineLevel="0" collapsed="false">
      <c r="A17" s="4" t="s">
        <v>110</v>
      </c>
      <c r="B17" s="8" t="n">
        <v>690000</v>
      </c>
      <c r="C17" s="8" t="n">
        <v>640000</v>
      </c>
      <c r="D17" s="8" t="n">
        <v>520000</v>
      </c>
    </row>
    <row r="18" customFormat="false" ht="15" hidden="false" customHeight="false" outlineLevel="0" collapsed="false">
      <c r="A18" s="4" t="s">
        <v>111</v>
      </c>
      <c r="B18" s="8" t="n">
        <v>4000000</v>
      </c>
      <c r="C18" s="8" t="n">
        <v>2500000</v>
      </c>
      <c r="D18" s="8" t="n">
        <v>0</v>
      </c>
    </row>
    <row r="19" customFormat="false" ht="15" hidden="false" customHeight="false" outlineLevel="0" collapsed="false">
      <c r="A19" s="4" t="s">
        <v>112</v>
      </c>
      <c r="B19" s="8" t="n">
        <v>52500000</v>
      </c>
      <c r="C19" s="8" t="n">
        <v>52625000</v>
      </c>
      <c r="D19" s="8" t="n">
        <v>45000000</v>
      </c>
    </row>
    <row r="20" customFormat="false" ht="15" hidden="false" customHeight="false" outlineLevel="0" collapsed="false">
      <c r="A20" s="3" t="s">
        <v>113</v>
      </c>
      <c r="B20" s="11" t="n">
        <f aca="false">SUM(B15:B19)</f>
        <v>60810000</v>
      </c>
      <c r="C20" s="11" t="n">
        <f aca="false">SUM(C15:C19)</f>
        <v>59135000</v>
      </c>
      <c r="D20" s="11" t="n">
        <f aca="false">SUM(D15:D19)</f>
        <v>47940000</v>
      </c>
    </row>
    <row r="21" customFormat="false" ht="15" hidden="false" customHeight="false" outlineLevel="0" collapsed="false">
      <c r="A21" s="3" t="s">
        <v>114</v>
      </c>
      <c r="B21" s="8" t="n">
        <v>24595000</v>
      </c>
      <c r="C21" s="8" t="n">
        <v>25860000</v>
      </c>
      <c r="D21" s="8" t="n">
        <v>21550000</v>
      </c>
    </row>
    <row r="22" customFormat="false" ht="15" hidden="false" customHeight="false" outlineLevel="0" collapsed="false">
      <c r="A22" s="4" t="s">
        <v>115</v>
      </c>
      <c r="B22" s="9" t="n">
        <f aca="false">B12-B20-B21</f>
        <v>0</v>
      </c>
      <c r="C22" s="9" t="n">
        <f aca="false">C12-C20-C21</f>
        <v>0</v>
      </c>
      <c r="D22" s="9" t="n">
        <f aca="false">D12-D20-D21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5" min="2" style="0" width="13"/>
    <col collapsed="false" customWidth="true" hidden="false" outlineLevel="0" max="6" min="6" style="0" width="14"/>
    <col collapsed="false" customWidth="true" hidden="false" outlineLevel="0" max="7" min="7" style="0" width="10"/>
  </cols>
  <sheetData>
    <row r="1" customFormat="false" ht="15" hidden="false" customHeight="false" outlineLevel="0" collapsed="false">
      <c r="A1" s="1" t="s">
        <v>0</v>
      </c>
      <c r="B1" s="2"/>
      <c r="C1" s="2"/>
      <c r="D1" s="2"/>
      <c r="E1" s="2"/>
      <c r="F1" s="2"/>
      <c r="G1" s="2"/>
    </row>
    <row r="2" customFormat="false" ht="15" hidden="false" customHeight="false" outlineLevel="0" collapsed="false">
      <c r="A2" s="3" t="s">
        <v>116</v>
      </c>
    </row>
    <row r="4" customFormat="false" ht="15" hidden="false" customHeight="false" outlineLevel="0" collapsed="false">
      <c r="A4" s="6" t="s">
        <v>117</v>
      </c>
      <c r="B4" s="6" t="s">
        <v>118</v>
      </c>
      <c r="C4" s="6" t="s">
        <v>119</v>
      </c>
      <c r="D4" s="6" t="s">
        <v>120</v>
      </c>
      <c r="E4" s="6" t="s">
        <v>121</v>
      </c>
      <c r="F4" s="6" t="s">
        <v>122</v>
      </c>
      <c r="G4" s="6" t="s">
        <v>123</v>
      </c>
    </row>
    <row r="5" customFormat="false" ht="15" hidden="false" customHeight="false" outlineLevel="0" collapsed="false">
      <c r="A5" s="4" t="s">
        <v>124</v>
      </c>
      <c r="B5" s="8" t="n">
        <v>1120000</v>
      </c>
      <c r="C5" s="8" t="n">
        <v>640000</v>
      </c>
      <c r="D5" s="8" t="n">
        <v>280000</v>
      </c>
      <c r="E5" s="8" t="n">
        <v>310000</v>
      </c>
      <c r="F5" s="9" t="n">
        <f aca="false">SUM(B5:E5)</f>
        <v>2350000</v>
      </c>
      <c r="G5" s="10" t="n">
        <f aca="false">IF($F$17=0,0,F5/$F$17)</f>
        <v>0.25566293398783</v>
      </c>
    </row>
    <row r="6" customFormat="false" ht="15" hidden="false" customHeight="false" outlineLevel="0" collapsed="false">
      <c r="A6" s="4" t="s">
        <v>125</v>
      </c>
      <c r="B6" s="8" t="n">
        <v>870000</v>
      </c>
      <c r="C6" s="8" t="n">
        <v>300000</v>
      </c>
      <c r="D6" s="8" t="n">
        <v>60000</v>
      </c>
      <c r="E6" s="8" t="n">
        <v>0</v>
      </c>
      <c r="F6" s="9" t="n">
        <f aca="false">SUM(B6:E6)</f>
        <v>1230000</v>
      </c>
      <c r="G6" s="10" t="n">
        <f aca="false">IF($F$17=0,0,F6/$F$17)</f>
        <v>0.133815067576609</v>
      </c>
    </row>
    <row r="7" customFormat="false" ht="15" hidden="false" customHeight="false" outlineLevel="0" collapsed="false">
      <c r="A7" s="4" t="s">
        <v>126</v>
      </c>
      <c r="B7" s="8" t="n">
        <v>760000</v>
      </c>
      <c r="C7" s="8" t="n">
        <v>210000</v>
      </c>
      <c r="D7" s="8" t="n">
        <v>40000</v>
      </c>
      <c r="E7" s="8" t="n">
        <v>12000</v>
      </c>
      <c r="F7" s="9" t="n">
        <f aca="false">SUM(B7:E7)</f>
        <v>1022000</v>
      </c>
      <c r="G7" s="10" t="n">
        <f aca="false">IF($F$17=0,0,F7/$F$17)</f>
        <v>0.111186178100239</v>
      </c>
    </row>
    <row r="8" customFormat="false" ht="15" hidden="false" customHeight="false" outlineLevel="0" collapsed="false">
      <c r="A8" s="4" t="s">
        <v>127</v>
      </c>
      <c r="B8" s="8" t="n">
        <v>540000</v>
      </c>
      <c r="C8" s="8" t="n">
        <v>190000</v>
      </c>
      <c r="D8" s="8" t="n">
        <v>25000</v>
      </c>
      <c r="E8" s="8" t="n">
        <v>0</v>
      </c>
      <c r="F8" s="9" t="n">
        <f aca="false">SUM(B8:E8)</f>
        <v>755000</v>
      </c>
      <c r="G8" s="10" t="n">
        <f aca="false">IF($F$17=0,0,F8/$F$17)</f>
        <v>0.0821385170897072</v>
      </c>
    </row>
    <row r="9" customFormat="false" ht="15" hidden="false" customHeight="false" outlineLevel="0" collapsed="false">
      <c r="A9" s="4" t="s">
        <v>128</v>
      </c>
      <c r="B9" s="8" t="n">
        <v>610000</v>
      </c>
      <c r="C9" s="8" t="n">
        <v>120000</v>
      </c>
      <c r="D9" s="8" t="n">
        <v>0</v>
      </c>
      <c r="E9" s="8" t="n">
        <v>0</v>
      </c>
      <c r="F9" s="9" t="n">
        <f aca="false">SUM(B9:E9)</f>
        <v>730000</v>
      </c>
      <c r="G9" s="10" t="n">
        <f aca="false">IF($F$17=0,0,F9/$F$17)</f>
        <v>0.0794186986430282</v>
      </c>
    </row>
    <row r="10" customFormat="false" ht="15" hidden="false" customHeight="false" outlineLevel="0" collapsed="false">
      <c r="A10" s="4" t="s">
        <v>129</v>
      </c>
      <c r="B10" s="8" t="n">
        <v>330000</v>
      </c>
      <c r="C10" s="8" t="n">
        <v>160000</v>
      </c>
      <c r="D10" s="8" t="n">
        <v>70000</v>
      </c>
      <c r="E10" s="8" t="n">
        <v>38000</v>
      </c>
      <c r="F10" s="9" t="n">
        <f aca="false">SUM(B10:E10)</f>
        <v>598000</v>
      </c>
      <c r="G10" s="10" t="n">
        <f aca="false">IF($F$17=0,0,F10/$F$17)</f>
        <v>0.0650580572445628</v>
      </c>
    </row>
    <row r="11" customFormat="false" ht="15" hidden="false" customHeight="false" outlineLevel="0" collapsed="false">
      <c r="A11" s="4" t="s">
        <v>130</v>
      </c>
      <c r="B11" s="8" t="n">
        <v>420000</v>
      </c>
      <c r="C11" s="8" t="n">
        <v>95000</v>
      </c>
      <c r="D11" s="8" t="n">
        <v>0</v>
      </c>
      <c r="E11" s="8" t="n">
        <v>0</v>
      </c>
      <c r="F11" s="9" t="n">
        <f aca="false">SUM(B11:E11)</f>
        <v>515000</v>
      </c>
      <c r="G11" s="10" t="n">
        <f aca="false">IF($F$17=0,0,F11/$F$17)</f>
        <v>0.0560282600015884</v>
      </c>
    </row>
    <row r="12" customFormat="false" ht="15" hidden="false" customHeight="false" outlineLevel="0" collapsed="false">
      <c r="A12" s="4" t="s">
        <v>131</v>
      </c>
      <c r="B12" s="8" t="n">
        <v>390000</v>
      </c>
      <c r="C12" s="8" t="n">
        <v>70000</v>
      </c>
      <c r="D12" s="8" t="n">
        <v>15000</v>
      </c>
      <c r="E12" s="8" t="n">
        <v>0</v>
      </c>
      <c r="F12" s="9" t="n">
        <f aca="false">SUM(B12:E12)</f>
        <v>475000</v>
      </c>
      <c r="G12" s="10" t="n">
        <f aca="false">IF($F$17=0,0,F12/$F$17)</f>
        <v>0.0516765504869019</v>
      </c>
    </row>
    <row r="13" customFormat="false" ht="15" hidden="false" customHeight="false" outlineLevel="0" collapsed="false">
      <c r="A13" s="4" t="s">
        <v>132</v>
      </c>
      <c r="B13" s="8" t="n">
        <v>180000</v>
      </c>
      <c r="C13" s="8" t="n">
        <v>140000</v>
      </c>
      <c r="D13" s="8" t="n">
        <v>95000</v>
      </c>
      <c r="E13" s="8" t="n">
        <v>64000</v>
      </c>
      <c r="F13" s="9" t="n">
        <f aca="false">SUM(B13:E13)</f>
        <v>479000</v>
      </c>
      <c r="G13" s="10" t="n">
        <f aca="false">IF($F$17=0,0,F13/$F$17)</f>
        <v>0.0521117214383706</v>
      </c>
    </row>
    <row r="14" customFormat="false" ht="15" hidden="false" customHeight="false" outlineLevel="0" collapsed="false">
      <c r="A14" s="4" t="s">
        <v>133</v>
      </c>
      <c r="B14" s="8" t="n">
        <v>300000</v>
      </c>
      <c r="C14" s="8" t="n">
        <v>60000</v>
      </c>
      <c r="D14" s="8" t="n">
        <v>0</v>
      </c>
      <c r="E14" s="8" t="n">
        <v>0</v>
      </c>
      <c r="F14" s="9" t="n">
        <f aca="false">SUM(B14:E14)</f>
        <v>360000</v>
      </c>
      <c r="G14" s="10" t="n">
        <f aca="false">IF($F$17=0,0,F14/$F$17)</f>
        <v>0.0391653856321783</v>
      </c>
    </row>
    <row r="15" customFormat="false" ht="15" hidden="false" customHeight="false" outlineLevel="0" collapsed="false">
      <c r="A15" s="4" t="s">
        <v>134</v>
      </c>
      <c r="B15" s="8" t="n">
        <v>520000</v>
      </c>
      <c r="C15" s="8" t="n">
        <v>110000</v>
      </c>
      <c r="D15" s="8" t="n">
        <v>20000</v>
      </c>
      <c r="E15" s="8" t="n">
        <v>9000</v>
      </c>
      <c r="F15" s="9" t="n">
        <f aca="false">SUM(B15:E15)</f>
        <v>659000</v>
      </c>
      <c r="G15" s="10" t="n">
        <f aca="false">IF($F$17=0,0,F15/$F$17)</f>
        <v>0.0716944142544597</v>
      </c>
    </row>
    <row r="16" customFormat="false" ht="15" hidden="false" customHeight="false" outlineLevel="0" collapsed="false">
      <c r="A16" s="4" t="s">
        <v>135</v>
      </c>
      <c r="B16" s="8" t="n">
        <v>13153</v>
      </c>
      <c r="C16" s="8" t="n">
        <v>3758</v>
      </c>
      <c r="D16" s="8" t="n">
        <v>1315</v>
      </c>
      <c r="E16" s="8" t="n">
        <v>564</v>
      </c>
      <c r="F16" s="9" t="n">
        <f aca="false">SUM(B16:E16)</f>
        <v>18790</v>
      </c>
      <c r="G16" s="10" t="n">
        <f aca="false">IF($F$17=0,0,F16/$F$17)</f>
        <v>0.00204421554452397</v>
      </c>
    </row>
    <row r="17" customFormat="false" ht="15" hidden="false" customHeight="false" outlineLevel="0" collapsed="false">
      <c r="A17" s="3" t="s">
        <v>122</v>
      </c>
      <c r="B17" s="11" t="n">
        <f aca="false">SUM(B5:B16)</f>
        <v>6053153</v>
      </c>
      <c r="C17" s="11" t="n">
        <f aca="false">SUM(C5:C16)</f>
        <v>2098758</v>
      </c>
      <c r="D17" s="11" t="n">
        <f aca="false">SUM(D5:D16)</f>
        <v>606315</v>
      </c>
      <c r="E17" s="11" t="n">
        <f aca="false">SUM(E5:E16)</f>
        <v>433564</v>
      </c>
      <c r="F17" s="11" t="n">
        <f aca="false">SUM(F5:F16)</f>
        <v>9191790</v>
      </c>
      <c r="G17" s="10" t="n">
        <f aca="false">IF($F$17=0,0,F17/$F$17)</f>
        <v>1</v>
      </c>
    </row>
    <row r="18" customFormat="false" ht="15" hidden="false" customHeight="false" outlineLevel="0" collapsed="false">
      <c r="A18" s="4" t="s">
        <v>136</v>
      </c>
      <c r="B18" s="10" t="n">
        <f aca="false">IF($F$17=0,0,B17/$F$17)</f>
        <v>0.658539087598825</v>
      </c>
      <c r="C18" s="10" t="n">
        <f aca="false">IF($F$17=0,0,C17/$F$17)</f>
        <v>0.228329628940609</v>
      </c>
      <c r="D18" s="10" t="n">
        <f aca="false">IF($F$17=0,0,D17/$F$17)</f>
        <v>0.0659626688599283</v>
      </c>
      <c r="E18" s="10" t="n">
        <f aca="false">IF($F$17=0,0,E17/$F$17)</f>
        <v>0.0471686146006382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2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4"/>
    <col collapsed="false" customWidth="true" hidden="false" outlineLevel="0" max="13" min="2" style="0" width="11"/>
    <col collapsed="false" customWidth="true" hidden="false" outlineLevel="0" max="14" min="14" style="0" width="48"/>
  </cols>
  <sheetData>
    <row r="1" customFormat="false" ht="15" hidden="false" customHeight="false" outlineLevel="0" collapsed="false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</row>
    <row r="2" customFormat="false" ht="15" hidden="false" customHeight="false" outlineLevel="0" collapsed="false">
      <c r="A2" s="3" t="s">
        <v>137</v>
      </c>
    </row>
    <row r="4" customFormat="false" ht="15" hidden="false" customHeight="false" outlineLevel="0" collapsed="false">
      <c r="A4" s="6" t="s">
        <v>138</v>
      </c>
      <c r="B4" s="6" t="s">
        <v>67</v>
      </c>
      <c r="C4" s="6" t="s">
        <v>68</v>
      </c>
      <c r="D4" s="6" t="s">
        <v>69</v>
      </c>
      <c r="E4" s="6" t="s">
        <v>70</v>
      </c>
      <c r="F4" s="6" t="s">
        <v>71</v>
      </c>
      <c r="G4" s="6" t="s">
        <v>72</v>
      </c>
      <c r="H4" s="6" t="s">
        <v>73</v>
      </c>
      <c r="I4" s="6" t="s">
        <v>74</v>
      </c>
      <c r="J4" s="6" t="s">
        <v>75</v>
      </c>
      <c r="K4" s="6" t="s">
        <v>76</v>
      </c>
      <c r="L4" s="6" t="s">
        <v>77</v>
      </c>
      <c r="M4" s="6" t="s">
        <v>78</v>
      </c>
      <c r="N4" s="6" t="s">
        <v>139</v>
      </c>
    </row>
    <row r="5" customFormat="false" ht="15" hidden="false" customHeight="false" outlineLevel="0" collapsed="false">
      <c r="A5" s="4" t="s">
        <v>140</v>
      </c>
      <c r="B5" s="15" t="n">
        <v>375</v>
      </c>
      <c r="C5" s="15" t="n">
        <v>326</v>
      </c>
      <c r="D5" s="15" t="n">
        <v>306</v>
      </c>
      <c r="E5" s="15" t="n">
        <v>253</v>
      </c>
      <c r="F5" s="15" t="n">
        <v>267</v>
      </c>
      <c r="G5" s="15" t="n">
        <v>313</v>
      </c>
      <c r="H5" s="15" t="n">
        <v>363</v>
      </c>
      <c r="I5" s="15" t="n">
        <v>403</v>
      </c>
      <c r="J5" s="15" t="n">
        <v>421</v>
      </c>
      <c r="K5" s="15" t="n">
        <v>427</v>
      </c>
      <c r="L5" s="15" t="n">
        <v>432</v>
      </c>
      <c r="M5" s="15" t="n">
        <v>435</v>
      </c>
      <c r="N5" s="5" t="s">
        <v>141</v>
      </c>
    </row>
    <row r="6" customFormat="false" ht="15" hidden="false" customHeight="false" outlineLevel="0" collapsed="false">
      <c r="A6" s="4" t="s">
        <v>142</v>
      </c>
      <c r="B6" s="15" t="n">
        <v>14430</v>
      </c>
      <c r="C6" s="15" t="n">
        <v>12548</v>
      </c>
      <c r="D6" s="15" t="n">
        <v>11757</v>
      </c>
      <c r="E6" s="15" t="n">
        <v>9743</v>
      </c>
      <c r="F6" s="15" t="n">
        <v>10279</v>
      </c>
      <c r="G6" s="15" t="n">
        <v>12044</v>
      </c>
      <c r="H6" s="15" t="n">
        <v>13974</v>
      </c>
      <c r="I6" s="15" t="n">
        <v>15492</v>
      </c>
      <c r="J6" s="15" t="n">
        <v>16185</v>
      </c>
      <c r="K6" s="15" t="n">
        <v>16532</v>
      </c>
      <c r="L6" s="15" t="n">
        <v>17057</v>
      </c>
      <c r="M6" s="15" t="n">
        <v>17525</v>
      </c>
      <c r="N6" s="5" t="s">
        <v>143</v>
      </c>
    </row>
    <row r="7" customFormat="false" ht="15" hidden="false" customHeight="false" outlineLevel="0" collapsed="false">
      <c r="A7" s="4" t="s">
        <v>144</v>
      </c>
      <c r="B7" s="15" t="n">
        <v>14069</v>
      </c>
      <c r="C7" s="15" t="n">
        <v>12234</v>
      </c>
      <c r="D7" s="15" t="n">
        <v>11463</v>
      </c>
      <c r="E7" s="15" t="n">
        <v>9499</v>
      </c>
      <c r="F7" s="15" t="n">
        <v>10022</v>
      </c>
      <c r="G7" s="15" t="n">
        <v>11743</v>
      </c>
      <c r="H7" s="15" t="n">
        <v>13625</v>
      </c>
      <c r="I7" s="15" t="n">
        <v>15105</v>
      </c>
      <c r="J7" s="15" t="n">
        <v>15780</v>
      </c>
      <c r="K7" s="15" t="n">
        <v>16003</v>
      </c>
      <c r="L7" s="15" t="n">
        <v>16204</v>
      </c>
      <c r="M7" s="15" t="n">
        <v>16316</v>
      </c>
      <c r="N7" s="5" t="s">
        <v>145</v>
      </c>
    </row>
    <row r="8" customFormat="false" ht="15" hidden="false" customHeight="false" outlineLevel="0" collapsed="false">
      <c r="A8" s="4" t="s">
        <v>146</v>
      </c>
      <c r="B8" s="16" t="n">
        <f aca="false">IF(B6=0,0,B7/B6)</f>
        <v>0.974982674982675</v>
      </c>
      <c r="C8" s="16" t="n">
        <f aca="false">IF(C6=0,0,C7/C6)</f>
        <v>0.974976091807459</v>
      </c>
      <c r="D8" s="16" t="n">
        <f aca="false">IF(D6=0,0,D7/D6)</f>
        <v>0.974993620821638</v>
      </c>
      <c r="E8" s="16" t="n">
        <f aca="false">IF(E6=0,0,E7/E6)</f>
        <v>0.974956378938725</v>
      </c>
      <c r="F8" s="16" t="n">
        <f aca="false">IF(F6=0,0,F7/F6)</f>
        <v>0.974997567856795</v>
      </c>
      <c r="G8" s="16" t="n">
        <f aca="false">IF(G6=0,0,G7/G6)</f>
        <v>0.975008302889406</v>
      </c>
      <c r="H8" s="16" t="n">
        <f aca="false">IF(H6=0,0,H7/H6)</f>
        <v>0.975025046514956</v>
      </c>
      <c r="I8" s="16" t="n">
        <f aca="false">IF(I6=0,0,I7/I6)</f>
        <v>0.975019364833462</v>
      </c>
      <c r="J8" s="16" t="n">
        <f aca="false">IF(J6=0,0,J7/J6)</f>
        <v>0.974976830398517</v>
      </c>
      <c r="K8" s="16" t="n">
        <f aca="false">IF(K6=0,0,K7/K6)</f>
        <v>0.968001451729978</v>
      </c>
      <c r="L8" s="16" t="n">
        <f aca="false">IF(L6=0,0,L7/L6)</f>
        <v>0.949991205956499</v>
      </c>
      <c r="M8" s="16" t="n">
        <f aca="false">IF(M6=0,0,M7/M6)</f>
        <v>0.931012838801712</v>
      </c>
      <c r="N8" s="5" t="s">
        <v>147</v>
      </c>
    </row>
    <row r="9" customFormat="false" ht="15" hidden="false" customHeight="false" outlineLevel="0" collapsed="false">
      <c r="A9" s="4" t="s">
        <v>148</v>
      </c>
      <c r="B9" s="17" t="n">
        <v>0.031</v>
      </c>
      <c r="C9" s="17" t="n">
        <v>0.031</v>
      </c>
      <c r="D9" s="17" t="n">
        <v>0.031</v>
      </c>
      <c r="E9" s="17" t="n">
        <v>0.031</v>
      </c>
      <c r="F9" s="17" t="n">
        <v>0.031</v>
      </c>
      <c r="G9" s="17" t="n">
        <v>0.031</v>
      </c>
      <c r="H9" s="17" t="n">
        <v>0.031</v>
      </c>
      <c r="I9" s="17" t="n">
        <v>0.031</v>
      </c>
      <c r="J9" s="17" t="n">
        <v>0.031</v>
      </c>
      <c r="K9" s="17" t="n">
        <v>0.031</v>
      </c>
      <c r="L9" s="17" t="n">
        <v>0.052</v>
      </c>
      <c r="M9" s="17" t="n">
        <v>0.064</v>
      </c>
      <c r="N9" s="5" t="s">
        <v>149</v>
      </c>
    </row>
    <row r="10" customFormat="false" ht="15" hidden="false" customHeight="false" outlineLevel="0" collapsed="false">
      <c r="A10" s="4" t="s">
        <v>150</v>
      </c>
      <c r="B10" s="15" t="n">
        <v>106928</v>
      </c>
      <c r="C10" s="15" t="n">
        <v>92979</v>
      </c>
      <c r="D10" s="15" t="n">
        <v>87122</v>
      </c>
      <c r="E10" s="15" t="n">
        <v>72195</v>
      </c>
      <c r="F10" s="15" t="n">
        <v>76169</v>
      </c>
      <c r="G10" s="15" t="n">
        <v>89248</v>
      </c>
      <c r="H10" s="15" t="n">
        <v>103549</v>
      </c>
      <c r="I10" s="15" t="n">
        <v>114798</v>
      </c>
      <c r="J10" s="15" t="n">
        <v>119928</v>
      </c>
      <c r="K10" s="15" t="n">
        <v>121625</v>
      </c>
      <c r="L10" s="15" t="n">
        <v>123152</v>
      </c>
      <c r="M10" s="15" t="n">
        <v>124002</v>
      </c>
      <c r="N10" s="5" t="s">
        <v>151</v>
      </c>
    </row>
    <row r="11" customFormat="false" ht="15" hidden="false" customHeight="false" outlineLevel="0" collapsed="false">
      <c r="A11" s="4" t="s">
        <v>152</v>
      </c>
      <c r="B11" s="15" t="n">
        <v>110671</v>
      </c>
      <c r="C11" s="15" t="n">
        <v>96233</v>
      </c>
      <c r="D11" s="15" t="n">
        <v>90171</v>
      </c>
      <c r="E11" s="15" t="n">
        <v>74722</v>
      </c>
      <c r="F11" s="15" t="n">
        <v>78835</v>
      </c>
      <c r="G11" s="15" t="n">
        <v>92372</v>
      </c>
      <c r="H11" s="15" t="n">
        <v>107173</v>
      </c>
      <c r="I11" s="15" t="n">
        <v>118816</v>
      </c>
      <c r="J11" s="15" t="n">
        <v>124126</v>
      </c>
      <c r="K11" s="15" t="n">
        <v>125882</v>
      </c>
      <c r="L11" s="15" t="n">
        <v>122221</v>
      </c>
      <c r="M11" s="15" t="n">
        <v>131690</v>
      </c>
      <c r="N11" s="5" t="s">
        <v>153</v>
      </c>
    </row>
    <row r="12" customFormat="false" ht="15" hidden="false" customHeight="false" outlineLevel="0" collapsed="false">
      <c r="A12" s="4" t="s">
        <v>154</v>
      </c>
      <c r="B12" s="18" t="n">
        <f aca="false">IF(B10=0,0,B11/B10)</f>
        <v>1.03500486308544</v>
      </c>
      <c r="C12" s="18" t="n">
        <f aca="false">IF(C10=0,0,C11/C10)</f>
        <v>1.03499714989406</v>
      </c>
      <c r="D12" s="18" t="n">
        <f aca="false">IF(D10=0,0,D11/D10)</f>
        <v>1.03499690089759</v>
      </c>
      <c r="E12" s="18" t="n">
        <f aca="false">IF(E10=0,0,E11/E10)</f>
        <v>1.03500242399058</v>
      </c>
      <c r="F12" s="18" t="n">
        <f aca="false">IF(F10=0,0,F11/F10)</f>
        <v>1.03500111593956</v>
      </c>
      <c r="G12" s="18" t="n">
        <f aca="false">IF(G10=0,0,G11/G10)</f>
        <v>1.03500358551452</v>
      </c>
      <c r="H12" s="18" t="n">
        <f aca="false">IF(H10=0,0,H11/H10)</f>
        <v>1.0349979236883</v>
      </c>
      <c r="I12" s="18" t="n">
        <f aca="false">IF(I10=0,0,I11/I10)</f>
        <v>1.03500060976672</v>
      </c>
      <c r="J12" s="18" t="n">
        <f aca="false">IF(J10=0,0,J11/J10)</f>
        <v>1.03500433593489</v>
      </c>
      <c r="K12" s="18" t="n">
        <f aca="false">IF(K10=0,0,K11/K10)</f>
        <v>1.03500102774923</v>
      </c>
      <c r="L12" s="18" t="n">
        <f aca="false">IF(L10=0,0,L11/L10)</f>
        <v>0.992440236455762</v>
      </c>
      <c r="M12" s="18" t="n">
        <f aca="false">IF(M10=0,0,M11/M10)</f>
        <v>1.06199900001613</v>
      </c>
      <c r="N12" s="5" t="s">
        <v>155</v>
      </c>
    </row>
    <row r="13" customFormat="false" ht="15" hidden="false" customHeight="false" outlineLevel="0" collapsed="false">
      <c r="A13" s="4" t="s">
        <v>156</v>
      </c>
      <c r="B13" s="19" t="n">
        <v>35.5</v>
      </c>
      <c r="C13" s="19" t="n">
        <v>35.5</v>
      </c>
      <c r="D13" s="19" t="n">
        <v>35.5</v>
      </c>
      <c r="E13" s="19" t="n">
        <v>36.4</v>
      </c>
      <c r="F13" s="19" t="n">
        <v>36.4</v>
      </c>
      <c r="G13" s="19" t="n">
        <v>36.4</v>
      </c>
      <c r="H13" s="19" t="n">
        <v>36.4</v>
      </c>
      <c r="I13" s="19" t="n">
        <v>36.4</v>
      </c>
      <c r="J13" s="19" t="n">
        <v>36.4</v>
      </c>
      <c r="K13" s="19" t="n">
        <v>36.4</v>
      </c>
      <c r="L13" s="19" t="n">
        <v>36.4</v>
      </c>
      <c r="M13" s="19" t="n">
        <v>36.4</v>
      </c>
      <c r="N13" s="5" t="s">
        <v>157</v>
      </c>
    </row>
    <row r="14" customFormat="false" ht="15" hidden="false" customHeight="false" outlineLevel="0" collapsed="false">
      <c r="A14" s="4" t="s">
        <v>158</v>
      </c>
      <c r="B14" s="19" t="n">
        <v>18.6</v>
      </c>
      <c r="C14" s="19" t="n">
        <v>18.6</v>
      </c>
      <c r="D14" s="19" t="n">
        <v>18.6</v>
      </c>
      <c r="E14" s="19" t="n">
        <v>19.75</v>
      </c>
      <c r="F14" s="19" t="n">
        <v>19.75</v>
      </c>
      <c r="G14" s="19" t="n">
        <v>19.75</v>
      </c>
      <c r="H14" s="19" t="n">
        <v>19.75</v>
      </c>
      <c r="I14" s="19" t="n">
        <v>19.75</v>
      </c>
      <c r="J14" s="19" t="n">
        <v>19.75</v>
      </c>
      <c r="K14" s="19" t="n">
        <v>19.75</v>
      </c>
      <c r="L14" s="19" t="n">
        <v>19.75</v>
      </c>
      <c r="M14" s="19" t="n">
        <v>19.75</v>
      </c>
      <c r="N14" s="5" t="s">
        <v>159</v>
      </c>
    </row>
    <row r="15" customFormat="false" ht="15" hidden="false" customHeight="false" outlineLevel="0" collapsed="false">
      <c r="A15" s="4" t="s">
        <v>160</v>
      </c>
      <c r="B15" s="20" t="n">
        <f aca="false">B13-B14</f>
        <v>16.9</v>
      </c>
      <c r="C15" s="20" t="n">
        <f aca="false">C13-C14</f>
        <v>16.9</v>
      </c>
      <c r="D15" s="20" t="n">
        <f aca="false">D13-D14</f>
        <v>16.9</v>
      </c>
      <c r="E15" s="20" t="n">
        <f aca="false">E13-E14</f>
        <v>16.65</v>
      </c>
      <c r="F15" s="20" t="n">
        <f aca="false">F13-F14</f>
        <v>16.65</v>
      </c>
      <c r="G15" s="20" t="n">
        <f aca="false">G13-G14</f>
        <v>16.65</v>
      </c>
      <c r="H15" s="20" t="n">
        <f aca="false">H13-H14</f>
        <v>16.65</v>
      </c>
      <c r="I15" s="20" t="n">
        <f aca="false">I13-I14</f>
        <v>16.65</v>
      </c>
      <c r="J15" s="20" t="n">
        <f aca="false">J13-J14</f>
        <v>16.65</v>
      </c>
      <c r="K15" s="20" t="n">
        <f aca="false">K13-K14</f>
        <v>16.65</v>
      </c>
      <c r="L15" s="20" t="n">
        <f aca="false">L13-L14</f>
        <v>16.65</v>
      </c>
      <c r="M15" s="20" t="n">
        <f aca="false">M13-M14</f>
        <v>16.65</v>
      </c>
      <c r="N15" s="5" t="s">
        <v>161</v>
      </c>
    </row>
    <row r="16" customFormat="false" ht="15" hidden="false" customHeight="false" outlineLevel="0" collapsed="false">
      <c r="A16" s="4" t="s">
        <v>162</v>
      </c>
      <c r="B16" s="17" t="n">
        <v>0.042</v>
      </c>
      <c r="C16" s="17" t="n">
        <v>0.042</v>
      </c>
      <c r="D16" s="17" t="n">
        <v>0.042</v>
      </c>
      <c r="E16" s="17" t="n">
        <v>0.042</v>
      </c>
      <c r="F16" s="17" t="n">
        <v>0.042</v>
      </c>
      <c r="G16" s="17" t="n">
        <v>0.042</v>
      </c>
      <c r="H16" s="17" t="n">
        <v>0.042</v>
      </c>
      <c r="I16" s="17" t="n">
        <v>0.042</v>
      </c>
      <c r="J16" s="17" t="n">
        <v>0.042</v>
      </c>
      <c r="K16" s="17" t="n">
        <v>0.042</v>
      </c>
      <c r="L16" s="17" t="n">
        <v>0.071</v>
      </c>
      <c r="M16" s="17" t="n">
        <v>0.088</v>
      </c>
      <c r="N16" s="5" t="s">
        <v>163</v>
      </c>
    </row>
    <row r="17" customFormat="false" ht="15" hidden="false" customHeight="false" outlineLevel="0" collapsed="false">
      <c r="A17" s="4" t="s">
        <v>164</v>
      </c>
      <c r="B17" s="15" t="n">
        <v>2110</v>
      </c>
      <c r="C17" s="15" t="n">
        <v>2020</v>
      </c>
      <c r="D17" s="15" t="n">
        <v>1990</v>
      </c>
      <c r="E17" s="15" t="n">
        <v>1870</v>
      </c>
      <c r="F17" s="15" t="n">
        <v>1882</v>
      </c>
      <c r="G17" s="15" t="n">
        <v>1960</v>
      </c>
      <c r="H17" s="15" t="n">
        <v>2050</v>
      </c>
      <c r="I17" s="15" t="n">
        <v>2110</v>
      </c>
      <c r="J17" s="15" t="n">
        <v>2140</v>
      </c>
      <c r="K17" s="15" t="n">
        <v>2140</v>
      </c>
      <c r="L17" s="15" t="n">
        <v>2122</v>
      </c>
      <c r="M17" s="15" t="n">
        <v>2170</v>
      </c>
      <c r="N17" s="5" t="s">
        <v>165</v>
      </c>
    </row>
    <row r="18" customFormat="false" ht="15" hidden="false" customHeight="false" outlineLevel="0" collapsed="false">
      <c r="A18" s="4" t="s">
        <v>166</v>
      </c>
      <c r="B18" s="15" t="n">
        <v>190</v>
      </c>
      <c r="C18" s="15" t="n">
        <v>182</v>
      </c>
      <c r="D18" s="15" t="n">
        <v>179</v>
      </c>
      <c r="E18" s="15" t="n">
        <v>168</v>
      </c>
      <c r="F18" s="15" t="n">
        <v>169</v>
      </c>
      <c r="G18" s="15" t="n">
        <v>176</v>
      </c>
      <c r="H18" s="15" t="n">
        <v>184</v>
      </c>
      <c r="I18" s="15" t="n">
        <v>190</v>
      </c>
      <c r="J18" s="15" t="n">
        <v>193</v>
      </c>
      <c r="K18" s="15" t="n">
        <v>193</v>
      </c>
      <c r="L18" s="15" t="n">
        <v>340</v>
      </c>
      <c r="M18" s="15" t="n">
        <v>347</v>
      </c>
      <c r="N18" s="5" t="s">
        <v>167</v>
      </c>
    </row>
    <row r="19" customFormat="false" ht="15" hidden="false" customHeight="false" outlineLevel="0" collapsed="false">
      <c r="A19" s="4" t="s">
        <v>168</v>
      </c>
      <c r="B19" s="15" t="n">
        <v>169</v>
      </c>
      <c r="C19" s="15" t="n">
        <v>162</v>
      </c>
      <c r="D19" s="15" t="n">
        <v>159</v>
      </c>
      <c r="E19" s="15" t="n">
        <v>150</v>
      </c>
      <c r="F19" s="15" t="n">
        <v>151</v>
      </c>
      <c r="G19" s="15" t="n">
        <v>157</v>
      </c>
      <c r="H19" s="15" t="n">
        <v>164</v>
      </c>
      <c r="I19" s="15" t="n">
        <v>169</v>
      </c>
      <c r="J19" s="15" t="n">
        <v>171</v>
      </c>
      <c r="K19" s="15" t="n">
        <v>171</v>
      </c>
      <c r="L19" s="15" t="n">
        <v>233</v>
      </c>
      <c r="M19" s="15" t="n">
        <v>239</v>
      </c>
      <c r="N19" s="5" t="s">
        <v>169</v>
      </c>
    </row>
    <row r="20" customFormat="false" ht="15" hidden="false" customHeight="false" outlineLevel="0" collapsed="false">
      <c r="A20" s="4" t="s">
        <v>170</v>
      </c>
      <c r="B20" s="16" t="n">
        <f aca="false">IF(B17=0,0,B19*12/B17)</f>
        <v>0.961137440758294</v>
      </c>
      <c r="C20" s="16" t="n">
        <f aca="false">IF(C17=0,0,C19*12/C17)</f>
        <v>0.962376237623762</v>
      </c>
      <c r="D20" s="16" t="n">
        <f aca="false">IF(D17=0,0,D19*12/D17)</f>
        <v>0.958793969849246</v>
      </c>
      <c r="E20" s="16" t="n">
        <f aca="false">IF(E17=0,0,E19*12/E17)</f>
        <v>0.962566844919786</v>
      </c>
      <c r="F20" s="16" t="n">
        <f aca="false">IF(F17=0,0,F19*12/F17)</f>
        <v>0.962805526036132</v>
      </c>
      <c r="G20" s="16" t="n">
        <f aca="false">IF(G17=0,0,G19*12/G17)</f>
        <v>0.961224489795918</v>
      </c>
      <c r="H20" s="16" t="n">
        <f aca="false">IF(H17=0,0,H19*12/H17)</f>
        <v>0.96</v>
      </c>
      <c r="I20" s="16" t="n">
        <f aca="false">IF(I17=0,0,I19*12/I17)</f>
        <v>0.961137440758294</v>
      </c>
      <c r="J20" s="16" t="n">
        <f aca="false">IF(J17=0,0,J19*12/J17)</f>
        <v>0.958878504672897</v>
      </c>
      <c r="K20" s="16" t="n">
        <f aca="false">IF(K17=0,0,K19*12/K17)</f>
        <v>0.958878504672897</v>
      </c>
      <c r="L20" s="16" t="n">
        <f aca="false">IF(L17=0,0,L19*12/L17)</f>
        <v>1.31762488218662</v>
      </c>
      <c r="M20" s="16" t="n">
        <f aca="false">IF(M17=0,0,M19*12/M17)</f>
        <v>1.32165898617512</v>
      </c>
      <c r="N20" s="5" t="s">
        <v>171</v>
      </c>
    </row>
    <row r="22" customFormat="false" ht="15" hidden="false" customHeight="false" outlineLevel="0" collapsed="false">
      <c r="A22" s="3" t="s">
        <v>172</v>
      </c>
    </row>
    <row r="23" customFormat="false" ht="15" hidden="false" customHeight="false" outlineLevel="0" collapsed="false">
      <c r="A23" s="4" t="s">
        <v>173</v>
      </c>
      <c r="B23" s="14" t="n">
        <f aca="false">B10*B13</f>
        <v>3795944</v>
      </c>
      <c r="C23" s="14" t="n">
        <f aca="false">C10*C13</f>
        <v>3300754.5</v>
      </c>
      <c r="D23" s="14" t="n">
        <f aca="false">D10*D13</f>
        <v>3092831</v>
      </c>
      <c r="E23" s="14" t="n">
        <f aca="false">E10*E13</f>
        <v>2627898</v>
      </c>
      <c r="F23" s="14" t="n">
        <f aca="false">F10*F13</f>
        <v>2772551.6</v>
      </c>
      <c r="G23" s="14" t="n">
        <f aca="false">G10*G13</f>
        <v>3248627.2</v>
      </c>
      <c r="H23" s="14" t="n">
        <f aca="false">H10*H13</f>
        <v>3769183.6</v>
      </c>
      <c r="I23" s="14" t="n">
        <f aca="false">I10*I13</f>
        <v>4178647.2</v>
      </c>
      <c r="J23" s="14" t="n">
        <f aca="false">J10*J13</f>
        <v>4365379.2</v>
      </c>
      <c r="K23" s="14" t="n">
        <f aca="false">K10*K13</f>
        <v>4427150</v>
      </c>
      <c r="L23" s="14" t="n">
        <f aca="false">L10*L13</f>
        <v>4482732.8</v>
      </c>
      <c r="M23" s="14" t="n">
        <f aca="false">M10*M13</f>
        <v>4513672.8</v>
      </c>
      <c r="N23" s="5" t="s">
        <v>174</v>
      </c>
    </row>
    <row r="24" customFormat="false" ht="15" hidden="false" customHeight="false" outlineLevel="0" collapsed="false">
      <c r="A24" s="4" t="s">
        <v>175</v>
      </c>
      <c r="B24" s="14" t="n">
        <f aca="false">'P&amp;L Trend'!B6</f>
        <v>3795946</v>
      </c>
      <c r="C24" s="14" t="n">
        <f aca="false">'P&amp;L Trend'!C6</f>
        <v>3300749</v>
      </c>
      <c r="D24" s="14" t="n">
        <f aca="false">'P&amp;L Trend'!D6</f>
        <v>3092832</v>
      </c>
      <c r="E24" s="14" t="n">
        <f aca="false">'P&amp;L Trend'!E6</f>
        <v>2627915</v>
      </c>
      <c r="F24" s="14" t="n">
        <f aca="false">'P&amp;L Trend'!F6</f>
        <v>2772557</v>
      </c>
      <c r="G24" s="14" t="n">
        <f aca="false">'P&amp;L Trend'!G6</f>
        <v>3248641</v>
      </c>
      <c r="H24" s="14" t="n">
        <f aca="false">'P&amp;L Trend'!H6</f>
        <v>3769179</v>
      </c>
      <c r="I24" s="14" t="n">
        <f aca="false">'P&amp;L Trend'!I6</f>
        <v>4178653</v>
      </c>
      <c r="J24" s="14" t="n">
        <f aca="false">'P&amp;L Trend'!J6</f>
        <v>4365386</v>
      </c>
      <c r="K24" s="14" t="n">
        <f aca="false">'P&amp;L Trend'!K6</f>
        <v>4427158</v>
      </c>
      <c r="L24" s="14" t="n">
        <f aca="false">'P&amp;L Trend'!L6</f>
        <v>4236999</v>
      </c>
      <c r="M24" s="14" t="n">
        <f aca="false">'P&amp;L Trend'!M6</f>
        <v>4513673</v>
      </c>
      <c r="N24" s="5" t="s">
        <v>176</v>
      </c>
    </row>
    <row r="25" customFormat="false" ht="15" hidden="false" customHeight="false" outlineLevel="0" collapsed="false">
      <c r="A25" s="4" t="s">
        <v>177</v>
      </c>
      <c r="B25" s="16" t="n">
        <f aca="false">IF(B24=0,0,B23/B24-1)</f>
        <v>-5.2687788498762E-007</v>
      </c>
      <c r="C25" s="16" t="n">
        <f aca="false">IF(C24=0,0,C23/C24-1)</f>
        <v>1.66628846964834E-006</v>
      </c>
      <c r="D25" s="16" t="n">
        <f aca="false">IF(D24=0,0,D23/D24-1)</f>
        <v>-3.23328263496236E-007</v>
      </c>
      <c r="E25" s="16" t="n">
        <f aca="false">IF(E24=0,0,E23/E24-1)</f>
        <v>-6.46900679812656E-006</v>
      </c>
      <c r="F25" s="16" t="n">
        <f aca="false">IF(F24=0,0,F23/F24-1)</f>
        <v>-1.94766058914109E-006</v>
      </c>
      <c r="G25" s="16" t="n">
        <f aca="false">IF(G24=0,0,G23/G24-1)</f>
        <v>-4.24793013453773E-006</v>
      </c>
      <c r="H25" s="16" t="n">
        <f aca="false">IF(H24=0,0,H23/H24-1)</f>
        <v>1.22042492534113E-006</v>
      </c>
      <c r="I25" s="16" t="n">
        <f aca="false">IF(I24=0,0,I23/I24-1)</f>
        <v>-1.38800709226228E-006</v>
      </c>
      <c r="J25" s="16" t="n">
        <f aca="false">IF(J24=0,0,J23/J24-1)</f>
        <v>-1.55770875698291E-006</v>
      </c>
      <c r="K25" s="16" t="n">
        <f aca="false">IF(K24=0,0,K23/K24-1)</f>
        <v>-1.80702834640112E-006</v>
      </c>
      <c r="L25" s="16" t="n">
        <f aca="false">IF(L24=0,0,L23/L24-1)</f>
        <v>0.0579971342924555</v>
      </c>
      <c r="M25" s="16" t="n">
        <f aca="false">IF(M24=0,0,M23/M24-1)</f>
        <v>-4.43098115976426E-008</v>
      </c>
      <c r="N25" s="5" t="s">
        <v>178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16"/>
    <col collapsed="false" customWidth="true" hidden="false" outlineLevel="0" max="3" min="3" style="0" width="10"/>
    <col collapsed="false" customWidth="true" hidden="false" outlineLevel="0" max="4" min="4" style="0" width="26"/>
    <col collapsed="false" customWidth="true" hidden="false" outlineLevel="0" max="5" min="5" style="0" width="15"/>
    <col collapsed="false" customWidth="true" hidden="false" outlineLevel="0" max="6" min="6" style="0" width="14"/>
    <col collapsed="false" customWidth="true" hidden="false" outlineLevel="0" max="7" min="7" style="0" width="34"/>
  </cols>
  <sheetData>
    <row r="1" customFormat="false" ht="15" hidden="false" customHeight="false" outlineLevel="0" collapsed="false">
      <c r="A1" s="1" t="s">
        <v>0</v>
      </c>
      <c r="B1" s="2"/>
      <c r="C1" s="2"/>
      <c r="D1" s="2"/>
      <c r="E1" s="2"/>
      <c r="F1" s="2"/>
      <c r="G1" s="2"/>
    </row>
    <row r="2" customFormat="false" ht="15" hidden="false" customHeight="false" outlineLevel="0" collapsed="false">
      <c r="A2" s="3" t="s">
        <v>179</v>
      </c>
    </row>
    <row r="4" customFormat="false" ht="15" hidden="false" customHeight="false" outlineLevel="0" collapsed="false">
      <c r="A4" s="6" t="s">
        <v>117</v>
      </c>
      <c r="B4" s="6" t="s">
        <v>180</v>
      </c>
      <c r="C4" s="6" t="s">
        <v>123</v>
      </c>
      <c r="D4" s="6" t="s">
        <v>181</v>
      </c>
      <c r="E4" s="6" t="s">
        <v>182</v>
      </c>
      <c r="F4" s="6" t="s">
        <v>183</v>
      </c>
      <c r="G4" s="6" t="s">
        <v>184</v>
      </c>
    </row>
    <row r="5" customFormat="false" ht="15" hidden="false" customHeight="false" outlineLevel="0" collapsed="false">
      <c r="A5" s="4" t="s">
        <v>124</v>
      </c>
      <c r="B5" s="8" t="n">
        <v>11474575</v>
      </c>
      <c r="C5" s="16" t="n">
        <f aca="false">IF($B$17=0,0,B5/$B$17)</f>
        <v>0.21199999911317</v>
      </c>
      <c r="D5" s="4" t="s">
        <v>185</v>
      </c>
      <c r="E5" s="4" t="s">
        <v>186</v>
      </c>
      <c r="F5" s="4" t="s">
        <v>187</v>
      </c>
      <c r="G5" s="4" t="s">
        <v>188</v>
      </c>
    </row>
    <row r="6" customFormat="false" ht="15" hidden="false" customHeight="false" outlineLevel="0" collapsed="false">
      <c r="A6" s="4" t="s">
        <v>125</v>
      </c>
      <c r="B6" s="8" t="n">
        <v>6386792</v>
      </c>
      <c r="C6" s="16" t="n">
        <f aca="false">IF($B$17=0,0,B6/$B$17)</f>
        <v>0.118000004212444</v>
      </c>
      <c r="D6" s="4" t="s">
        <v>185</v>
      </c>
      <c r="E6" s="4" t="s">
        <v>189</v>
      </c>
      <c r="F6" s="4" t="s">
        <v>190</v>
      </c>
      <c r="G6" s="4"/>
    </row>
    <row r="7" customFormat="false" ht="15" hidden="false" customHeight="false" outlineLevel="0" collapsed="false">
      <c r="A7" s="4" t="s">
        <v>126</v>
      </c>
      <c r="B7" s="8" t="n">
        <v>5087783</v>
      </c>
      <c r="C7" s="16" t="n">
        <f aca="false">IF($B$17=0,0,B7/$B$17)</f>
        <v>0.0939999949007262</v>
      </c>
      <c r="D7" s="4" t="s">
        <v>191</v>
      </c>
      <c r="E7" s="4" t="s">
        <v>192</v>
      </c>
      <c r="F7" s="4" t="s">
        <v>193</v>
      </c>
      <c r="G7" s="4" t="s">
        <v>194</v>
      </c>
    </row>
    <row r="8" customFormat="false" ht="15" hidden="false" customHeight="false" outlineLevel="0" collapsed="false">
      <c r="A8" s="4" t="s">
        <v>127</v>
      </c>
      <c r="B8" s="8" t="n">
        <v>3842900</v>
      </c>
      <c r="C8" s="16" t="n">
        <f aca="false">IF($B$17=0,0,B8/$B$17)</f>
        <v>0.0709999975242656</v>
      </c>
      <c r="D8" s="4" t="s">
        <v>195</v>
      </c>
      <c r="E8" s="4" t="s">
        <v>196</v>
      </c>
      <c r="F8" s="4" t="s">
        <v>193</v>
      </c>
      <c r="G8" s="4" t="s">
        <v>197</v>
      </c>
    </row>
    <row r="9" customFormat="false" ht="15" hidden="false" customHeight="false" outlineLevel="0" collapsed="false">
      <c r="A9" s="4" t="s">
        <v>128</v>
      </c>
      <c r="B9" s="8" t="n">
        <v>3572273</v>
      </c>
      <c r="C9" s="16" t="n">
        <f aca="false">IF($B$17=0,0,B9/$B$17)</f>
        <v>0.0659999932748708</v>
      </c>
      <c r="D9" s="4" t="s">
        <v>185</v>
      </c>
      <c r="E9" s="4" t="s">
        <v>198</v>
      </c>
      <c r="F9" s="4" t="s">
        <v>187</v>
      </c>
      <c r="G9" s="4"/>
    </row>
    <row r="10" customFormat="false" ht="15" hidden="false" customHeight="false" outlineLevel="0" collapsed="false">
      <c r="A10" s="4" t="s">
        <v>129</v>
      </c>
      <c r="B10" s="8" t="n">
        <v>2435641</v>
      </c>
      <c r="C10" s="16" t="n">
        <f aca="false">IF($B$17=0,0,B10/$B$17)</f>
        <v>0.0450000012932941</v>
      </c>
      <c r="D10" s="4" t="s">
        <v>199</v>
      </c>
      <c r="E10" s="4" t="s">
        <v>200</v>
      </c>
      <c r="F10" s="4" t="s">
        <v>193</v>
      </c>
      <c r="G10" s="4"/>
    </row>
    <row r="11" customFormat="false" ht="15" hidden="false" customHeight="false" outlineLevel="0" collapsed="false">
      <c r="A11" s="4" t="s">
        <v>130</v>
      </c>
      <c r="B11" s="8" t="n">
        <v>2327390</v>
      </c>
      <c r="C11" s="16" t="n">
        <f aca="false">IF($B$17=0,0,B11/$B$17)</f>
        <v>0.0429999958984102</v>
      </c>
      <c r="D11" s="4" t="s">
        <v>185</v>
      </c>
      <c r="E11" s="4" t="s">
        <v>201</v>
      </c>
      <c r="F11" s="4" t="s">
        <v>202</v>
      </c>
      <c r="G11" s="4"/>
    </row>
    <row r="12" customFormat="false" ht="15" hidden="false" customHeight="false" outlineLevel="0" collapsed="false">
      <c r="A12" s="4" t="s">
        <v>131</v>
      </c>
      <c r="B12" s="8" t="n">
        <v>2056763</v>
      </c>
      <c r="C12" s="16" t="n">
        <f aca="false">IF($B$17=0,0,B12/$B$17)</f>
        <v>0.0379999916490154</v>
      </c>
      <c r="D12" s="4" t="s">
        <v>191</v>
      </c>
      <c r="E12" s="4" t="s">
        <v>203</v>
      </c>
      <c r="F12" s="4" t="s">
        <v>193</v>
      </c>
      <c r="G12" s="4" t="s">
        <v>194</v>
      </c>
    </row>
    <row r="13" customFormat="false" ht="15" hidden="false" customHeight="false" outlineLevel="0" collapsed="false">
      <c r="A13" s="4" t="s">
        <v>132</v>
      </c>
      <c r="B13" s="8" t="n">
        <v>1677886</v>
      </c>
      <c r="C13" s="16" t="n">
        <f aca="false">IF($B$17=0,0,B13/$B$17)</f>
        <v>0.0310000004803664</v>
      </c>
      <c r="D13" s="4" t="s">
        <v>199</v>
      </c>
      <c r="E13" s="4" t="s">
        <v>200</v>
      </c>
      <c r="F13" s="4" t="s">
        <v>193</v>
      </c>
      <c r="G13" s="4"/>
    </row>
    <row r="14" customFormat="false" ht="15" hidden="false" customHeight="false" outlineLevel="0" collapsed="false">
      <c r="A14" s="4" t="s">
        <v>133</v>
      </c>
      <c r="B14" s="8" t="n">
        <v>1569635</v>
      </c>
      <c r="C14" s="16" t="n">
        <f aca="false">IF($B$17=0,0,B14/$B$17)</f>
        <v>0.0289999950854825</v>
      </c>
      <c r="D14" s="4" t="s">
        <v>185</v>
      </c>
      <c r="E14" s="4" t="s">
        <v>204</v>
      </c>
      <c r="F14" s="4" t="s">
        <v>190</v>
      </c>
      <c r="G14" s="4"/>
    </row>
    <row r="15" customFormat="false" ht="15" hidden="false" customHeight="false" outlineLevel="0" collapsed="false">
      <c r="A15" s="4" t="s">
        <v>134</v>
      </c>
      <c r="B15" s="8" t="n">
        <v>7415173</v>
      </c>
      <c r="C15" s="16" t="n">
        <f aca="false">IF($B$17=0,0,B15/$B$17)</f>
        <v>0.136999990799136</v>
      </c>
      <c r="D15" s="4" t="s">
        <v>205</v>
      </c>
      <c r="E15" s="4" t="s">
        <v>206</v>
      </c>
      <c r="F15" s="4" t="s">
        <v>206</v>
      </c>
      <c r="G15" s="4"/>
    </row>
    <row r="16" customFormat="false" ht="15" hidden="false" customHeight="false" outlineLevel="0" collapsed="false">
      <c r="A16" s="4" t="s">
        <v>135</v>
      </c>
      <c r="B16" s="7" t="n">
        <f aca="false">'P&amp;L Trend'!N9-SUM(B5:B15)</f>
        <v>6278543</v>
      </c>
      <c r="C16" s="10" t="n">
        <f aca="false">IF($B$17=0,0,B16/$B$17)</f>
        <v>0.116000035768819</v>
      </c>
    </row>
    <row r="17" customFormat="false" ht="15" hidden="false" customHeight="false" outlineLevel="0" collapsed="false">
      <c r="A17" s="3" t="s">
        <v>122</v>
      </c>
      <c r="B17" s="11" t="n">
        <f aca="false">SUM(B5:B16)</f>
        <v>54125354</v>
      </c>
      <c r="C17" s="10" t="n">
        <f aca="false">IF($B$17=0,0,B17/$B$17)</f>
        <v>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2"/>
    <col collapsed="false" customWidth="true" hidden="false" outlineLevel="0" max="2" min="2" style="0" width="16"/>
    <col collapsed="false" customWidth="true" hidden="false" outlineLevel="0" max="3" min="3" style="0" width="44"/>
  </cols>
  <sheetData>
    <row r="1" customFormat="false" ht="15" hidden="false" customHeight="false" outlineLevel="0" collapsed="false">
      <c r="A1" s="1" t="s">
        <v>0</v>
      </c>
      <c r="B1" s="2"/>
      <c r="C1" s="2"/>
    </row>
    <row r="2" customFormat="false" ht="15" hidden="false" customHeight="false" outlineLevel="0" collapsed="false">
      <c r="A2" s="3" t="s">
        <v>207</v>
      </c>
    </row>
    <row r="4" customFormat="false" ht="15" hidden="false" customHeight="false" outlineLevel="0" collapsed="false">
      <c r="A4" s="6" t="s">
        <v>85</v>
      </c>
      <c r="B4" s="6" t="s">
        <v>208</v>
      </c>
      <c r="C4" s="6" t="s">
        <v>209</v>
      </c>
    </row>
    <row r="5" customFormat="false" ht="15" hidden="false" customHeight="false" outlineLevel="0" collapsed="false">
      <c r="A5" s="4" t="s">
        <v>210</v>
      </c>
      <c r="B5" s="7" t="n">
        <f aca="false">'Adj EBITDA Bridge'!N11</f>
        <v>8780813</v>
      </c>
      <c r="C5" s="4" t="s">
        <v>211</v>
      </c>
    </row>
    <row r="6" customFormat="false" ht="15" hidden="false" customHeight="false" outlineLevel="0" collapsed="false">
      <c r="A6" s="4" t="s">
        <v>212</v>
      </c>
      <c r="B6" s="8" t="n">
        <v>1240000</v>
      </c>
      <c r="C6" s="4" t="s">
        <v>213</v>
      </c>
    </row>
    <row r="7" customFormat="false" ht="15" hidden="false" customHeight="false" outlineLevel="0" collapsed="false">
      <c r="A7" s="4" t="s">
        <v>214</v>
      </c>
      <c r="B7" s="8" t="n">
        <v>610000</v>
      </c>
      <c r="C7" s="4" t="s">
        <v>215</v>
      </c>
    </row>
    <row r="8" customFormat="false" ht="15" hidden="false" customHeight="false" outlineLevel="0" collapsed="false">
      <c r="A8" s="4" t="s">
        <v>216</v>
      </c>
      <c r="B8" s="8" t="n">
        <v>2100000</v>
      </c>
      <c r="C8" s="4" t="s">
        <v>217</v>
      </c>
    </row>
    <row r="9" customFormat="false" ht="15" hidden="false" customHeight="false" outlineLevel="0" collapsed="false">
      <c r="A9" s="4" t="s">
        <v>218</v>
      </c>
      <c r="B9" s="14" t="n">
        <f aca="false">SUM(B5:B8)</f>
        <v>12730813</v>
      </c>
      <c r="C9" s="4"/>
    </row>
    <row r="10" customFormat="false" ht="15" hidden="false" customHeight="false" outlineLevel="0" collapsed="false">
      <c r="A10" s="4"/>
      <c r="C10" s="4"/>
    </row>
    <row r="11" customFormat="false" ht="15" hidden="false" customHeight="false" outlineLevel="0" collapsed="false">
      <c r="A11" s="4" t="s">
        <v>219</v>
      </c>
      <c r="B11" s="7" t="n">
        <f aca="false">'Balance Sheet'!B19</f>
        <v>52500000</v>
      </c>
      <c r="C11" s="4"/>
    </row>
    <row r="12" customFormat="false" ht="15" hidden="false" customHeight="false" outlineLevel="0" collapsed="false">
      <c r="A12" s="4" t="s">
        <v>111</v>
      </c>
      <c r="B12" s="7" t="n">
        <f aca="false">'Balance Sheet'!B18</f>
        <v>4000000</v>
      </c>
      <c r="C12" s="4"/>
    </row>
    <row r="13" customFormat="false" ht="15" hidden="false" customHeight="false" outlineLevel="0" collapsed="false">
      <c r="A13" s="4" t="s">
        <v>220</v>
      </c>
      <c r="B13" s="7" t="n">
        <f aca="false">-'Balance Sheet'!B6</f>
        <v>-1920000</v>
      </c>
      <c r="C13" s="4"/>
    </row>
    <row r="14" customFormat="false" ht="15" hidden="false" customHeight="false" outlineLevel="0" collapsed="false">
      <c r="A14" s="4" t="s">
        <v>221</v>
      </c>
      <c r="B14" s="14" t="n">
        <f aca="false">SUM(B11:B13)</f>
        <v>54580000</v>
      </c>
      <c r="C14" s="4"/>
    </row>
    <row r="15" customFormat="false" ht="15" hidden="false" customHeight="false" outlineLevel="0" collapsed="false">
      <c r="A15" s="4"/>
      <c r="C15" s="4"/>
    </row>
    <row r="16" customFormat="false" ht="15" hidden="false" customHeight="false" outlineLevel="0" collapsed="false">
      <c r="A16" s="4" t="s">
        <v>222</v>
      </c>
      <c r="B16" s="21" t="n">
        <f aca="false">IF(B9=0,0,B14/B9)</f>
        <v>4.28723601548464</v>
      </c>
      <c r="C16" s="4"/>
    </row>
    <row r="17" customFormat="false" ht="15" hidden="false" customHeight="false" outlineLevel="0" collapsed="false">
      <c r="A17" s="4" t="s">
        <v>223</v>
      </c>
      <c r="B17" s="22" t="n">
        <v>4.75</v>
      </c>
      <c r="C17" s="4" t="s">
        <v>224</v>
      </c>
    </row>
    <row r="18" customFormat="false" ht="15" hidden="false" customHeight="false" outlineLevel="0" collapsed="false">
      <c r="A18" s="4" t="s">
        <v>225</v>
      </c>
      <c r="B18" s="21" t="n">
        <f aca="false">B17-B16</f>
        <v>0.462763984515364</v>
      </c>
      <c r="C18" s="4"/>
    </row>
    <row r="19" customFormat="false" ht="15" hidden="false" customHeight="false" outlineLevel="0" collapsed="false">
      <c r="A19" s="4"/>
      <c r="C19" s="4"/>
    </row>
    <row r="20" customFormat="false" ht="15" hidden="false" customHeight="false" outlineLevel="0" collapsed="false">
      <c r="A20" s="3" t="s">
        <v>226</v>
      </c>
      <c r="C20" s="4"/>
    </row>
    <row r="21" customFormat="false" ht="15" hidden="false" customHeight="false" outlineLevel="0" collapsed="false">
      <c r="A21" s="4" t="s">
        <v>227</v>
      </c>
      <c r="B21" s="17" t="n">
        <v>0.15</v>
      </c>
      <c r="C21" s="4" t="s">
        <v>228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2026-10-17T04:40:59Z</dcterms:created>
  <dc:creator>openpyxl</dc:creator>
  <dc:description/>
  <dc:language>en-US</dc:language>
  <cp:lastModifiedBy/>
  <dcterms:modified xsi:type="dcterms:W3CDTF">2026-10-17T04:40:59Z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