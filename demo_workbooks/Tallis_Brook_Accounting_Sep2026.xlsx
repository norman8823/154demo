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P Letter" sheetId="1" state="visible" r:id="rId3"/>
    <sheet name="Dashboard" sheetId="2" state="visible" r:id="rId4"/>
    <sheet name="Practice P&amp;L" sheetId="3" state="visible" r:id="rId5"/>
    <sheet name="Monthly Trend" sheetId="4" state="visible" r:id="rId6"/>
    <sheet name="Adjusted EBITDA" sheetId="5" state="visible" r:id="rId7"/>
    <sheet name="People &amp; Utilization" sheetId="6" state="visible" r:id="rId8"/>
    <sheet name="WIP AR Realization" sheetId="7" state="visible" r:id="rId9"/>
    <sheet name="Client Book"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<sst xmlns="http://schemas.openxmlformats.org/spreadsheetml/2006/main" count="377" uniqueCount="234">
  <si>
    <t xml:space="preserve">TALLIS BROOK ACCOUNTING GROUP</t>
  </si>
  <si>
    <t xml:space="preserve">Managing Partner's Letter to the Sponsor, September 2026</t>
  </si>
  <si>
    <t xml:space="preserve">Synthetic test data. Fictional firm and clients; not based on any real business.</t>
  </si>
  <si>
    <t xml:space="preserve">Year to date, net fee revenue is up 70% over the prior year. That reflects strong organic demand across our offices and continued expansion of Client Accounting Services, which is now our fastest-growing service line, up 74% year to date.</t>
  </si>
  <si>
    <t xml:space="preserve">September was a heavy month for business and trust returns ahead of the September 15 extension deadline, and the teams delivered on time. Firmwide realization held above 90%, consistent with our historical range, and utilization remained healthy.</t>
  </si>
  <si>
    <t xml:space="preserve">Integration: Partner compensation has now been aligned with the platform model across all acquired practices, and Ashcombe's client transition following its founding partner's retirement in May is complete, with client retention firmwide remaining above 95%. Wexley joined on July 1 and is already operating on our tax and practice management systems.</t>
  </si>
  <si>
    <t xml:space="preserve">Redfern is adapting to our engagement and billing standards. Some fixed-fee engagements inherited at acquisition are running over budget, and we expect them to be repriced at renewal. We do not anticipate material write-downs beyond what has been recorded.</t>
  </si>
  <si>
    <t xml:space="preserve">Outlook: We are on track for full-year results in line with the acquisition model. Our pipeline includes two additional practices under letter of intent, and we expect to sign one before year-end.</t>
  </si>
  <si>
    <t xml:space="preserve">Managing Partner</t>
  </si>
  <si>
    <t xml:space="preserve">Sponsor Dashboard, September 2026</t>
  </si>
  <si>
    <t xml:space="preserve">US dollars unless noted   |   Synthetic test data. Fictional firm and clients; not based on any real business.</t>
  </si>
  <si>
    <t xml:space="preserve">Metric</t>
  </si>
  <si>
    <t xml:space="preserve">Sep-26</t>
  </si>
  <si>
    <t xml:space="preserve">Sep-25</t>
  </si>
  <si>
    <t xml:space="preserve">YoY change</t>
  </si>
  <si>
    <t xml:space="preserve">YTD 2026</t>
  </si>
  <si>
    <t xml:space="preserve">YTD 2025</t>
  </si>
  <si>
    <t xml:space="preserve">Net fee revenue</t>
  </si>
  <si>
    <t xml:space="preserve">EBITDA (reported)</t>
  </si>
  <si>
    <t xml:space="preserve">EBITDA margin</t>
  </si>
  <si>
    <t xml:space="preserve">CAS revenue</t>
  </si>
  <si>
    <t xml:space="preserve">LTM pro forma adjusted EBITDA</t>
  </si>
  <si>
    <t xml:space="preserve">Total FTEs (excluding offshore)</t>
  </si>
  <si>
    <t xml:space="preserve">Annualized revenue per FTE (Q3 run-rate)</t>
  </si>
  <si>
    <t xml:space="preserve">Firm realization (Sep)</t>
  </si>
  <si>
    <t xml:space="preserve">Firm lockup days</t>
  </si>
  <si>
    <t xml:space="preserve">Gross client retention (LTM)</t>
  </si>
  <si>
    <t xml:space="preserve">P&amp;L by Practice, September 2026</t>
  </si>
  <si>
    <t xml:space="preserve">US dollars   |   Synthetic test data. Fictional firm and clients; not based on any real business.</t>
  </si>
  <si>
    <t xml:space="preserve">Tallis Brook (legacy)</t>
  </si>
  <si>
    <t xml:space="preserve">Ashcombe (acq. Nov-25)</t>
  </si>
  <si>
    <t xml:space="preserve">Redfern (acq. Mar-26)</t>
  </si>
  <si>
    <t xml:space="preserve">Wexley (acq. Jul-26)</t>
  </si>
  <si>
    <t xml:space="preserve">Corporate</t>
  </si>
  <si>
    <t xml:space="preserve">Consolidated Sep-26</t>
  </si>
  <si>
    <t xml:space="preserve">Consolidated Sep-25</t>
  </si>
  <si>
    <t xml:space="preserve">Budget Sep-26</t>
  </si>
  <si>
    <t xml:space="preserve">Fee revenue</t>
  </si>
  <si>
    <t xml:space="preserve">Tax - Individual</t>
  </si>
  <si>
    <t xml:space="preserve">Tax - Business &amp; Trust</t>
  </si>
  <si>
    <t xml:space="preserve">Client Accounting Services (CAS)</t>
  </si>
  <si>
    <t xml:space="preserve">Audit &amp; Assurance (ASA fee)</t>
  </si>
  <si>
    <t xml:space="preserve">Advisory &amp; Other</t>
  </si>
  <si>
    <t xml:space="preserve">Net Fee Revenue</t>
  </si>
  <si>
    <t xml:space="preserve">Professional compensation &amp; direct costs</t>
  </si>
  <si>
    <t xml:space="preserve">Professional Staff Salaries</t>
  </si>
  <si>
    <t xml:space="preserve">Partner &amp; Principal Compensation</t>
  </si>
  <si>
    <t xml:space="preserve">Bonus Accrual</t>
  </si>
  <si>
    <t xml:space="preserve">Payroll Taxes &amp; Benefits</t>
  </si>
  <si>
    <t xml:space="preserve">Offshore &amp; Contract Staff</t>
  </si>
  <si>
    <t xml:space="preserve">Total Direct Costs</t>
  </si>
  <si>
    <t xml:space="preserve">Practice Margin</t>
  </si>
  <si>
    <t xml:space="preserve">Practice margin %</t>
  </si>
  <si>
    <t xml:space="preserve">Office operating expenses</t>
  </si>
  <si>
    <t xml:space="preserve">Occupancy</t>
  </si>
  <si>
    <t xml:space="preserve">Technology &amp; Tax Software</t>
  </si>
  <si>
    <t xml:space="preserve">Admin &amp; Support Salaries</t>
  </si>
  <si>
    <t xml:space="preserve">Professional Liability Insurance</t>
  </si>
  <si>
    <t xml:space="preserve">CPE, Licensing &amp; Dues</t>
  </si>
  <si>
    <t xml:space="preserve">Marketing &amp; Business Development</t>
  </si>
  <si>
    <t xml:space="preserve">Travel &amp; Other</t>
  </si>
  <si>
    <t xml:space="preserve">Total Office Opex</t>
  </si>
  <si>
    <t xml:space="preserve">Corporate Team (Finance, HR, IT)</t>
  </si>
  <si>
    <t xml:space="preserve">Integration Costs</t>
  </si>
  <si>
    <t xml:space="preserve">Transaction Costs</t>
  </si>
  <si>
    <t xml:space="preserve">Sponsor Monitoring Fee</t>
  </si>
  <si>
    <t xml:space="preserve">Total Corporate</t>
  </si>
  <si>
    <t xml:space="preserve">EBITDA margin %</t>
  </si>
  <si>
    <t xml:space="preserve">Note: Sep-25 reflects Tallis Brook (legacy) only; acquired practices are included from their acquisition dates.</t>
  </si>
  <si>
    <t xml:space="preserve">Consolidated Monthly P&amp;L, January to September 2026</t>
  </si>
  <si>
    <t xml:space="preserve">Line</t>
  </si>
  <si>
    <t xml:space="preserve">Jan-26</t>
  </si>
  <si>
    <t xml:space="preserve">Feb-26</t>
  </si>
  <si>
    <t xml:space="preserve">Mar-26</t>
  </si>
  <si>
    <t xml:space="preserve">Apr-26</t>
  </si>
  <si>
    <t xml:space="preserve">May-26</t>
  </si>
  <si>
    <t xml:space="preserve">Jun-26</t>
  </si>
  <si>
    <t xml:space="preserve">Jul-26</t>
  </si>
  <si>
    <t xml:space="preserve">Aug-26</t>
  </si>
  <si>
    <t xml:space="preserve">YTD Budget</t>
  </si>
  <si>
    <t xml:space="preserve">LTM Pro Forma Adjusted EBITDA, Twelve Months Ended September 30, 2026</t>
  </si>
  <si>
    <t xml:space="preserve">Item</t>
  </si>
  <si>
    <t xml:space="preserve">Amount ($)</t>
  </si>
  <si>
    <t xml:space="preserve">Source / basis</t>
  </si>
  <si>
    <t xml:space="preserve">Reported EBITDA, Jan to Sep 2026</t>
  </si>
  <si>
    <t xml:space="preserve">Monthly Trend</t>
  </si>
  <si>
    <t xml:space="preserve">Reported EBITDA, Oct to Dec 2025</t>
  </si>
  <si>
    <t xml:space="preserve">2025 management accounts (Tallis Brook; Ashcombe from Nov-25)</t>
  </si>
  <si>
    <t xml:space="preserve">LTM reported EBITDA</t>
  </si>
  <si>
    <t xml:space="preserve">Pre-acquisition EBITDA: Ashcombe (Oct-25)</t>
  </si>
  <si>
    <t xml:space="preserve">Sell-side QoE</t>
  </si>
  <si>
    <t xml:space="preserve">Pre-acquisition EBITDA: Redfern (Oct-25 to Feb-26)</t>
  </si>
  <si>
    <t xml:space="preserve">Pre-acquisition EBITDA: Wexley (Oct-25 to Jun-26)</t>
  </si>
  <si>
    <t xml:space="preserve">Buy-side QoE</t>
  </si>
  <si>
    <t xml:space="preserve">Selling partner compensation normalization</t>
  </si>
  <si>
    <t xml:space="preserve">See schedule below</t>
  </si>
  <si>
    <t xml:space="preserve">Integration costs</t>
  </si>
  <si>
    <t xml:space="preserve">Systems migration and integration staff</t>
  </si>
  <si>
    <t xml:space="preserve">Transaction costs</t>
  </si>
  <si>
    <t xml:space="preserve">Acquisitions and pipeline diligence</t>
  </si>
  <si>
    <t xml:space="preserve">Sponsor monitoring fee</t>
  </si>
  <si>
    <t xml:space="preserve">Jan to Sep 2026</t>
  </si>
  <si>
    <t xml:space="preserve">LTM Pro Forma Adjusted EBITDA</t>
  </si>
  <si>
    <t xml:space="preserve">Schedule: selling partner compensation normalization</t>
  </si>
  <si>
    <t xml:space="preserve">Partner</t>
  </si>
  <si>
    <t xml:space="preserve">Practice</t>
  </si>
  <si>
    <t xml:space="preserve">Current annual comp ($)</t>
  </si>
  <si>
    <t xml:space="preserve">Pro forma comp per purchase agreement ($)</t>
  </si>
  <si>
    <t xml:space="preserve">LTM normalization ($)</t>
  </si>
  <si>
    <t xml:space="preserve">Comp reset effective</t>
  </si>
  <si>
    <t xml:space="preserve">Months owned in LTM</t>
  </si>
  <si>
    <t xml:space="preserve">Selling Partner RF-01</t>
  </si>
  <si>
    <t xml:space="preserve">Jan 1, 2027</t>
  </si>
  <si>
    <t xml:space="preserve">Selling Partner RF-02</t>
  </si>
  <si>
    <t xml:space="preserve">Ashcombe and Wexley selling partners were reset to pro forma compensation at closing.</t>
  </si>
  <si>
    <t xml:space="preserve">Total</t>
  </si>
  <si>
    <t xml:space="preserve">Headcount, Chargeable Hours and Utilization, September 2026</t>
  </si>
  <si>
    <t xml:space="preserve">Hours and headcount; available hours = 168 per person in September   |   Synthetic test data. Fictional firm and clients; not based on any real business.</t>
  </si>
  <si>
    <t xml:space="preserve">Level</t>
  </si>
  <si>
    <t xml:space="preserve">Headcount</t>
  </si>
  <si>
    <t xml:space="preserve">Available hours</t>
  </si>
  <si>
    <t xml:space="preserve">Chargeable hours</t>
  </si>
  <si>
    <t xml:space="preserve">Utilization</t>
  </si>
  <si>
    <t xml:space="preserve">Standard rate ($/hr)</t>
  </si>
  <si>
    <t xml:space="preserve">Standard value of time ($)</t>
  </si>
  <si>
    <t xml:space="preserve">Voluntary departures (LTM)</t>
  </si>
  <si>
    <t xml:space="preserve">Selling partner?</t>
  </si>
  <si>
    <t xml:space="preserve">Manager</t>
  </si>
  <si>
    <t xml:space="preserve">Senior</t>
  </si>
  <si>
    <t xml:space="preserve">Staff</t>
  </si>
  <si>
    <t xml:space="preserve">Admin &amp; support</t>
  </si>
  <si>
    <t xml:space="preserve">Tallis Brook (legacy) total</t>
  </si>
  <si>
    <t xml:space="preserve">Yes (2 of 2)</t>
  </si>
  <si>
    <t xml:space="preserve">Ashcombe (acq. Nov-25) total</t>
  </si>
  <si>
    <t xml:space="preserve">Yes (2 of 3)</t>
  </si>
  <si>
    <t xml:space="preserve">Redfern (acq. Mar-26) total</t>
  </si>
  <si>
    <t xml:space="preserve">Wexley (acq. Jul-26) total</t>
  </si>
  <si>
    <t xml:space="preserve">Corporate (finance, HR, IT, integration)</t>
  </si>
  <si>
    <t xml:space="preserve">Total firm headcount</t>
  </si>
  <si>
    <t xml:space="preserve">Offshore delivery team (contracted FTEs, not in headcount)</t>
  </si>
  <si>
    <t xml:space="preserve">Realization, Work in Process and Receivables, September 2026</t>
  </si>
  <si>
    <t xml:space="preserve">Measure</t>
  </si>
  <si>
    <t xml:space="preserve">Firm total</t>
  </si>
  <si>
    <t xml:space="preserve">Realization (September)</t>
  </si>
  <si>
    <t xml:space="preserve">Standard value of time</t>
  </si>
  <si>
    <t xml:space="preserve">Realization (revenue / standard value)</t>
  </si>
  <si>
    <t xml:space="preserve">Write-downs, YTD 2026</t>
  </si>
  <si>
    <t xml:space="preserve">Work in process (unbilled time) aging</t>
  </si>
  <si>
    <t xml:space="preserve">WIP 0-30 days</t>
  </si>
  <si>
    <t xml:space="preserve">WIP 31-60 days</t>
  </si>
  <si>
    <t xml:space="preserve">WIP 61-90 days</t>
  </si>
  <si>
    <t xml:space="preserve">WIP 91-120 days</t>
  </si>
  <si>
    <t xml:space="preserve">WIP Over 120 days</t>
  </si>
  <si>
    <t xml:space="preserve">Total WIP</t>
  </si>
  <si>
    <t xml:space="preserve">Accounts receivable aging</t>
  </si>
  <si>
    <t xml:space="preserve">AR Current</t>
  </si>
  <si>
    <t xml:space="preserve">AR 31-60 days</t>
  </si>
  <si>
    <t xml:space="preserve">AR 61-90 days</t>
  </si>
  <si>
    <t xml:space="preserve">AR Over 90 days</t>
  </si>
  <si>
    <t xml:space="preserve">Total AR</t>
  </si>
  <si>
    <t xml:space="preserve">Lockup (Q3 2026 revenue annualized)</t>
  </si>
  <si>
    <t xml:space="preserve">Q3 2026 net fee revenue</t>
  </si>
  <si>
    <t xml:space="preserve">WIP days</t>
  </si>
  <si>
    <t xml:space="preserve">Days sales outstanding</t>
  </si>
  <si>
    <t xml:space="preserve">Lockup days (WIP days + DSO)</t>
  </si>
  <si>
    <t xml:space="preserve">Note: Wexley was acquired July 1, 2026; its WIP and AR exclude balances retained by the sellers at closing.</t>
  </si>
  <si>
    <t xml:space="preserve">Client Book: Retention and Largest Relationships</t>
  </si>
  <si>
    <t xml:space="preserve">US dollars; LTM = October 2025 to September 2026   |   Synthetic test data. Fictional firm and clients; not based on any real business.</t>
  </si>
  <si>
    <t xml:space="preserve">Clients at Oct 1, 2025 (or acquisition)</t>
  </si>
  <si>
    <t xml:space="preserve">Clients lost since</t>
  </si>
  <si>
    <t xml:space="preserve">Clients added</t>
  </si>
  <si>
    <t xml:space="preserve">Clients at Sep 30, 2026</t>
  </si>
  <si>
    <t xml:space="preserve">Gross retention</t>
  </si>
  <si>
    <t xml:space="preserve">Client</t>
  </si>
  <si>
    <t xml:space="preserve">Industry</t>
  </si>
  <si>
    <t xml:space="preserve">Primary services</t>
  </si>
  <si>
    <t xml:space="preserve">Relationship partner</t>
  </si>
  <si>
    <t xml:space="preserve">LTM fees ($)</t>
  </si>
  <si>
    <t xml:space="preserve">Status</t>
  </si>
  <si>
    <t xml:space="preserve">Notes</t>
  </si>
  <si>
    <t xml:space="preserve">Client 1001</t>
  </si>
  <si>
    <t xml:space="preserve">Manufacturing</t>
  </si>
  <si>
    <t xml:space="preserve">Audit, Tax</t>
  </si>
  <si>
    <t xml:space="preserve">LP-01</t>
  </si>
  <si>
    <t xml:space="preserve">Active</t>
  </si>
  <si>
    <t xml:space="preserve">Client 1002</t>
  </si>
  <si>
    <t xml:space="preserve">Real estate partnerships</t>
  </si>
  <si>
    <t xml:space="preserve">Tax</t>
  </si>
  <si>
    <t xml:space="preserve">LP-02</t>
  </si>
  <si>
    <t xml:space="preserve">Client 1003</t>
  </si>
  <si>
    <t xml:space="preserve">Healthcare practice</t>
  </si>
  <si>
    <t xml:space="preserve">CAS, Tax</t>
  </si>
  <si>
    <t xml:space="preserve">LP-03</t>
  </si>
  <si>
    <t xml:space="preserve">Client 2001</t>
  </si>
  <si>
    <t xml:space="preserve">Family office</t>
  </si>
  <si>
    <t xml:space="preserve">Tax, Trust</t>
  </si>
  <si>
    <t xml:space="preserve">AS-01 (retired May-26)</t>
  </si>
  <si>
    <t xml:space="preserve">Departed Aug-26</t>
  </si>
  <si>
    <t xml:space="preserve">Moved with former partner's referral</t>
  </si>
  <si>
    <t xml:space="preserve">Client 1004</t>
  </si>
  <si>
    <t xml:space="preserve">Construction</t>
  </si>
  <si>
    <t xml:space="preserve">Client 3001</t>
  </si>
  <si>
    <t xml:space="preserve">Distribution</t>
  </si>
  <si>
    <t xml:space="preserve">RF-01</t>
  </si>
  <si>
    <t xml:space="preserve">Fixed-fee engagement</t>
  </si>
  <si>
    <t xml:space="preserve">Client 2002</t>
  </si>
  <si>
    <t xml:space="preserve">Dental group</t>
  </si>
  <si>
    <t xml:space="preserve">Departed Jul-26</t>
  </si>
  <si>
    <t xml:space="preserve">Client 1005</t>
  </si>
  <si>
    <t xml:space="preserve">Nonprofit</t>
  </si>
  <si>
    <t xml:space="preserve">Audit</t>
  </si>
  <si>
    <t xml:space="preserve">LP-04</t>
  </si>
  <si>
    <t xml:space="preserve">Client 3002</t>
  </si>
  <si>
    <t xml:space="preserve">Professional services</t>
  </si>
  <si>
    <t xml:space="preserve">RF-02</t>
  </si>
  <si>
    <t xml:space="preserve">Client 4001</t>
  </si>
  <si>
    <t xml:space="preserve">Agriculture</t>
  </si>
  <si>
    <t xml:space="preserve">Tax, Advisory</t>
  </si>
  <si>
    <t xml:space="preserve">WX-01</t>
  </si>
  <si>
    <t xml:space="preserve">Client 2003</t>
  </si>
  <si>
    <t xml:space="preserve">Restaurant group</t>
  </si>
  <si>
    <t xml:space="preserve">Notice given Sep-26</t>
  </si>
  <si>
    <t xml:space="preserve">Engagement letter not renewed for 2027</t>
  </si>
  <si>
    <t xml:space="preserve">Client 1006</t>
  </si>
  <si>
    <t xml:space="preserve">Technology</t>
  </si>
  <si>
    <t xml:space="preserve">CAS, Advisory</t>
  </si>
  <si>
    <t xml:space="preserve">LP-05</t>
  </si>
  <si>
    <t xml:space="preserve">CAS client since 2024</t>
  </si>
  <si>
    <t xml:space="preserve">Client 3003</t>
  </si>
  <si>
    <t xml:space="preserve">Senior living</t>
  </si>
  <si>
    <t xml:space="preserve">Client 1007</t>
  </si>
  <si>
    <t xml:space="preserve">Auto dealerships</t>
  </si>
  <si>
    <t xml:space="preserve">Client 4002</t>
  </si>
  <si>
    <t xml:space="preserve">WX-02</t>
  </si>
</sst>
</file>

<file path=xl/styles.xml><?xml version="1.0" encoding="utf-8"?>
<styleSheet xmlns="http://schemas.openxmlformats.org/spreadsheetml/2006/main">
  <numFmts count="6">
    <numFmt numFmtId="164" formatCode="General"/>
    <numFmt numFmtId="165" formatCode="\$#,##0;&quot;($&quot;#,##0\);\-"/>
    <numFmt numFmtId="166" formatCode="0.0%;\(0.0%\);\-"/>
    <numFmt numFmtId="167" formatCode="\+0.0%;\-0.0%"/>
    <numFmt numFmtId="168" formatCode="#,##0;\(#,##0\);\-"/>
    <numFmt numFmtId="169" formatCode="0"/>
  </numFmts>
  <fonts count="15">
    <font>
      <sz val="11"/>
      <color theme="1"/>
      <name val="Calibri"/>
      <family val="2"/>
      <charset val="1"/>
    </font>
    <font>
      <sz val="10"/>
      <name val="Arial"/>
      <family val="0"/>
    </font>
    <font>
      <sz val="10"/>
      <name val="Arial"/>
      <family val="0"/>
    </font>
    <font>
      <sz val="10"/>
      <name val="Arial"/>
      <family val="0"/>
    </font>
    <font>
      <b val="true"/>
      <sz val="12"/>
      <color rgb="FF3B2F63"/>
      <name val="Arial"/>
      <family val="0"/>
      <charset val="1"/>
    </font>
    <font>
      <b val="true"/>
      <sz val="10"/>
      <color rgb="FF000000"/>
      <name val="Arial"/>
      <family val="0"/>
      <charset val="1"/>
    </font>
    <font>
      <i val="true"/>
      <sz val="10"/>
      <color rgb="FF000000"/>
      <name val="Arial"/>
      <family val="0"/>
      <charset val="1"/>
    </font>
    <font>
      <sz val="10"/>
      <color rgb="FF000000"/>
      <name val="Arial"/>
      <family val="0"/>
      <charset val="1"/>
    </font>
    <font>
      <b val="true"/>
      <sz val="13"/>
      <color rgb="FF3B2F63"/>
      <name val="Arial"/>
      <family val="0"/>
      <charset val="1"/>
    </font>
    <font>
      <b val="true"/>
      <sz val="11"/>
      <name val="Arial"/>
      <family val="0"/>
      <charset val="1"/>
    </font>
    <font>
      <i val="true"/>
      <sz val="9"/>
      <name val="Arial"/>
      <family val="0"/>
      <charset val="1"/>
    </font>
    <font>
      <b val="true"/>
      <sz val="9"/>
      <color rgb="FFFFFFFF"/>
      <name val="Arial"/>
      <family val="0"/>
      <charset val="1"/>
    </font>
    <font>
      <sz val="9"/>
      <name val="Arial"/>
      <family val="0"/>
      <charset val="1"/>
    </font>
    <font>
      <sz val="9"/>
      <color rgb="FF1F3864"/>
      <name val="Arial"/>
      <family val="0"/>
      <charset val="1"/>
    </font>
    <font>
      <b val="true"/>
      <sz val="9"/>
      <name val="Arial"/>
      <family val="0"/>
      <charset val="1"/>
    </font>
  </fonts>
  <fills count="5">
    <fill>
      <patternFill patternType="none"/>
    </fill>
    <fill>
      <patternFill patternType="gray125"/>
    </fill>
    <fill>
      <patternFill patternType="solid">
        <fgColor rgb="FF3B2F63"/>
        <bgColor rgb="FF1F3864"/>
      </patternFill>
    </fill>
    <fill>
      <patternFill patternType="solid">
        <fgColor rgb="FFE4DFF0"/>
        <bgColor rgb="FFF5F5F5"/>
      </patternFill>
    </fill>
    <fill>
      <patternFill patternType="solid">
        <fgColor rgb="FFF5F5F5"/>
        <bgColor rgb="FFFFFFFF"/>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4" fontId="14"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8" fontId="14" fillId="4" borderId="0" xfId="0" applyFont="true" applyBorder="false" applyAlignment="false" applyProtection="false">
      <alignment horizontal="general" vertical="bottom" textRotation="0" wrapText="false" indent="0" shrinkToFit="false"/>
      <protection locked="true" hidden="false"/>
    </xf>
    <xf numFmtId="166" fontId="14" fillId="4" borderId="0" xfId="0" applyFont="true" applyBorder="false" applyAlignment="false" applyProtection="false">
      <alignment horizontal="general" vertical="bottom" textRotation="0" wrapText="false" indent="0" shrinkToFit="false"/>
      <protection locked="true" hidden="false"/>
    </xf>
    <xf numFmtId="165" fontId="14" fillId="4"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5F5F5"/>
      <rgbColor rgb="FFCCFFFF"/>
      <rgbColor rgb="FF660066"/>
      <rgbColor rgb="FFFF8080"/>
      <rgbColor rgb="FF0066CC"/>
      <rgbColor rgb="FFE4DF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B2F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5"/>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4"/>
    </row>
    <row r="5" customFormat="false" ht="23.85" hidden="false" customHeight="false" outlineLevel="0" collapsed="false">
      <c r="A5" s="4" t="s">
        <v>3</v>
      </c>
    </row>
    <row r="6" customFormat="false" ht="15" hidden="false" customHeight="false" outlineLevel="0" collapsed="false">
      <c r="A6" s="4"/>
    </row>
    <row r="7" customFormat="false" ht="23.85" hidden="false" customHeight="false" outlineLevel="0" collapsed="false">
      <c r="A7" s="4" t="s">
        <v>4</v>
      </c>
    </row>
    <row r="8" customFormat="false" ht="15" hidden="false" customHeight="false" outlineLevel="0" collapsed="false">
      <c r="A8" s="4"/>
    </row>
    <row r="9" customFormat="false" ht="35.05" hidden="false" customHeight="false" outlineLevel="0" collapsed="false">
      <c r="A9" s="4" t="s">
        <v>5</v>
      </c>
    </row>
    <row r="10" customFormat="false" ht="15" hidden="false" customHeight="false" outlineLevel="0" collapsed="false">
      <c r="A10" s="4"/>
    </row>
    <row r="11" customFormat="false" ht="23.85" hidden="false" customHeight="false" outlineLevel="0" collapsed="false">
      <c r="A11" s="4" t="s">
        <v>6</v>
      </c>
    </row>
    <row r="12" customFormat="false" ht="15" hidden="false" customHeight="false" outlineLevel="0" collapsed="false">
      <c r="A12" s="4"/>
    </row>
    <row r="13" customFormat="false" ht="23.85" hidden="false" customHeight="false" outlineLevel="0" collapsed="false">
      <c r="A13" s="4" t="s">
        <v>7</v>
      </c>
    </row>
    <row r="14" customFormat="false" ht="15" hidden="false" customHeight="false" outlineLevel="0" collapsed="false">
      <c r="A14" s="4"/>
    </row>
    <row r="15" customFormat="false" ht="15" hidden="false" customHeight="false" outlineLevel="0" collapsed="false">
      <c r="A15" s="4" t="s">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6" min="2" style="0" width="15"/>
  </cols>
  <sheetData>
    <row r="1" customFormat="false" ht="16.15" hidden="false" customHeight="false" outlineLevel="0" collapsed="false">
      <c r="A1" s="5" t="s">
        <v>0</v>
      </c>
      <c r="B1" s="5"/>
      <c r="C1" s="5"/>
      <c r="D1" s="5"/>
      <c r="E1" s="5"/>
      <c r="F1" s="5"/>
    </row>
    <row r="2" customFormat="false" ht="15" hidden="false" customHeight="false" outlineLevel="0" collapsed="false">
      <c r="A2" s="6" t="s">
        <v>9</v>
      </c>
      <c r="B2" s="6"/>
      <c r="C2" s="6"/>
      <c r="D2" s="6"/>
      <c r="E2" s="6"/>
      <c r="F2" s="6"/>
    </row>
    <row r="3" customFormat="false" ht="15" hidden="false" customHeight="false" outlineLevel="0" collapsed="false">
      <c r="A3" s="7" t="s">
        <v>10</v>
      </c>
      <c r="B3" s="7"/>
      <c r="C3" s="7"/>
      <c r="D3" s="7"/>
      <c r="E3" s="7"/>
      <c r="F3" s="7"/>
    </row>
    <row r="5" customFormat="false" ht="15" hidden="false" customHeight="false" outlineLevel="0" collapsed="false">
      <c r="A5" s="8" t="s">
        <v>11</v>
      </c>
      <c r="B5" s="8" t="s">
        <v>12</v>
      </c>
      <c r="C5" s="8" t="s">
        <v>13</v>
      </c>
      <c r="D5" s="8" t="s">
        <v>14</v>
      </c>
      <c r="E5" s="8" t="s">
        <v>15</v>
      </c>
      <c r="F5" s="8" t="s">
        <v>16</v>
      </c>
    </row>
    <row r="6" customFormat="false" ht="15" hidden="false" customHeight="false" outlineLevel="0" collapsed="false">
      <c r="A6" s="9" t="s">
        <v>17</v>
      </c>
      <c r="B6" s="10" t="n">
        <f aca="false">'Practice P&amp;L'!G12</f>
        <v>3475418</v>
      </c>
      <c r="C6" s="10" t="n">
        <f aca="false">'Practice P&amp;L'!H12</f>
        <v>1808746</v>
      </c>
      <c r="D6" s="11" t="n">
        <f aca="false">IF(C6=0,0,B6/C6-1)</f>
        <v>0.921451657667799</v>
      </c>
      <c r="E6" s="10" t="n">
        <f aca="false">'Monthly Trend'!K12</f>
        <v>23171006</v>
      </c>
      <c r="F6" s="10" t="n">
        <f aca="false">'Monthly Trend'!M12</f>
        <v>13657612</v>
      </c>
    </row>
    <row r="7" customFormat="false" ht="15" hidden="false" customHeight="false" outlineLevel="0" collapsed="false">
      <c r="A7" s="9" t="s">
        <v>18</v>
      </c>
      <c r="B7" s="10" t="n">
        <f aca="false">'Practice P&amp;L'!G41</f>
        <v>684306</v>
      </c>
      <c r="C7" s="10" t="n">
        <f aca="false">'Practice P&amp;L'!H41</f>
        <v>459265</v>
      </c>
      <c r="D7" s="11" t="n">
        <f aca="false">IF(C7=0,0,B7/C7-1)</f>
        <v>0.490002504000958</v>
      </c>
      <c r="E7" s="10" t="n">
        <f aca="false">'Monthly Trend'!K40</f>
        <v>3916548</v>
      </c>
      <c r="F7" s="10" t="n">
        <f aca="false">'Monthly Trend'!M40</f>
        <v>3095415</v>
      </c>
    </row>
    <row r="8" customFormat="false" ht="15" hidden="false" customHeight="false" outlineLevel="0" collapsed="false">
      <c r="A8" s="9" t="s">
        <v>19</v>
      </c>
      <c r="B8" s="12" t="n">
        <f aca="false">IF(B6=0,0,B7/B6)</f>
        <v>0.196898905397854</v>
      </c>
      <c r="C8" s="12" t="n">
        <f aca="false">IF(C6=0,0,C7/C6)</f>
        <v>0.25391348481213</v>
      </c>
      <c r="D8" s="13" t="n">
        <f aca="false">B8-C8</f>
        <v>-0.0570145794142752</v>
      </c>
      <c r="E8" s="12" t="n">
        <f aca="false">IF(E6=0,0,E7/E6)</f>
        <v>0.169027965380528</v>
      </c>
      <c r="F8" s="12" t="n">
        <f aca="false">IF(F6=0,0,F7/F6)</f>
        <v>0.226643940390165</v>
      </c>
    </row>
    <row r="9" customFormat="false" ht="15" hidden="false" customHeight="false" outlineLevel="0" collapsed="false">
      <c r="A9" s="9" t="s">
        <v>20</v>
      </c>
      <c r="B9" s="10" t="n">
        <f aca="false">'Practice P&amp;L'!G9</f>
        <v>672031</v>
      </c>
      <c r="C9" s="10" t="n">
        <f aca="false">'Practice P&amp;L'!H9</f>
        <v>348508</v>
      </c>
      <c r="D9" s="11" t="n">
        <f aca="false">IF(C9=0,0,B9/C9-1)</f>
        <v>0.928308675841014</v>
      </c>
      <c r="E9" s="10" t="n">
        <f aca="false">'Monthly Trend'!K9</f>
        <v>5242495</v>
      </c>
      <c r="F9" s="10" t="n">
        <f aca="false">'Monthly Trend'!M9</f>
        <v>3009728</v>
      </c>
    </row>
    <row r="10" customFormat="false" ht="15" hidden="false" customHeight="false" outlineLevel="0" collapsed="false">
      <c r="A10" s="9" t="s">
        <v>21</v>
      </c>
      <c r="B10" s="10" t="n">
        <f aca="false">'Adjusted EBITDA'!B17</f>
        <v>7941214.66666667</v>
      </c>
    </row>
    <row r="11" customFormat="false" ht="15" hidden="false" customHeight="false" outlineLevel="0" collapsed="false">
      <c r="A11" s="9" t="s">
        <v>22</v>
      </c>
      <c r="B11" s="14" t="n">
        <v>184</v>
      </c>
    </row>
    <row r="12" customFormat="false" ht="15" hidden="false" customHeight="false" outlineLevel="0" collapsed="false">
      <c r="A12" s="9" t="s">
        <v>23</v>
      </c>
      <c r="B12" s="10" t="n">
        <f aca="false">IF(B11=0,0,'WIP AR Realization'!F28*4/B11)</f>
        <v>169674.02173913</v>
      </c>
    </row>
    <row r="13" customFormat="false" ht="15" hidden="false" customHeight="false" outlineLevel="0" collapsed="false">
      <c r="A13" s="9" t="s">
        <v>24</v>
      </c>
      <c r="B13" s="12" t="n">
        <f aca="false">'WIP AR Realization'!F9</f>
        <v>0.879528679941945</v>
      </c>
    </row>
    <row r="14" customFormat="false" ht="15" hidden="false" customHeight="false" outlineLevel="0" collapsed="false">
      <c r="A14" s="9" t="s">
        <v>25</v>
      </c>
      <c r="B14" s="15" t="n">
        <f aca="false">'WIP AR Realization'!F31</f>
        <v>91.237081206226</v>
      </c>
    </row>
    <row r="15" customFormat="false" ht="15" hidden="false" customHeight="false" outlineLevel="0" collapsed="false">
      <c r="A15" s="9" t="s">
        <v>26</v>
      </c>
      <c r="B15" s="12" t="n">
        <f aca="false">'Client Book'!F10</f>
        <v>0.939616055846422</v>
      </c>
    </row>
  </sheetData>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9" min="2" style="0" width="14"/>
  </cols>
  <sheetData>
    <row r="1" customFormat="false" ht="16.15" hidden="false" customHeight="false" outlineLevel="0" collapsed="false">
      <c r="A1" s="5" t="s">
        <v>0</v>
      </c>
      <c r="B1" s="5"/>
      <c r="C1" s="5"/>
      <c r="D1" s="5"/>
      <c r="E1" s="5"/>
      <c r="F1" s="5"/>
      <c r="G1" s="5"/>
      <c r="H1" s="5"/>
      <c r="I1" s="5"/>
    </row>
    <row r="2" customFormat="false" ht="15" hidden="false" customHeight="false" outlineLevel="0" collapsed="false">
      <c r="A2" s="6" t="s">
        <v>27</v>
      </c>
      <c r="B2" s="6"/>
      <c r="C2" s="6"/>
      <c r="D2" s="6"/>
      <c r="E2" s="6"/>
      <c r="F2" s="6"/>
      <c r="G2" s="6"/>
      <c r="H2" s="6"/>
      <c r="I2" s="6"/>
    </row>
    <row r="3" customFormat="false" ht="15" hidden="false" customHeight="false" outlineLevel="0" collapsed="false">
      <c r="A3" s="7" t="s">
        <v>28</v>
      </c>
      <c r="B3" s="7"/>
      <c r="C3" s="7"/>
      <c r="D3" s="7"/>
      <c r="E3" s="7"/>
      <c r="F3" s="7"/>
      <c r="G3" s="7"/>
      <c r="H3" s="7"/>
      <c r="I3" s="7"/>
    </row>
    <row r="5" customFormat="false" ht="30" hidden="false" customHeight="true" outlineLevel="0" collapsed="false">
      <c r="A5" s="8"/>
      <c r="B5" s="8" t="s">
        <v>29</v>
      </c>
      <c r="C5" s="8" t="s">
        <v>30</v>
      </c>
      <c r="D5" s="8" t="s">
        <v>31</v>
      </c>
      <c r="E5" s="8" t="s">
        <v>32</v>
      </c>
      <c r="F5" s="8" t="s">
        <v>33</v>
      </c>
      <c r="G5" s="8" t="s">
        <v>34</v>
      </c>
      <c r="H5" s="8" t="s">
        <v>35</v>
      </c>
      <c r="I5" s="8" t="s">
        <v>36</v>
      </c>
    </row>
    <row r="6" customFormat="false" ht="15" hidden="false" customHeight="false" outlineLevel="0" collapsed="false">
      <c r="A6" s="16" t="s">
        <v>37</v>
      </c>
      <c r="B6" s="17"/>
      <c r="C6" s="17"/>
      <c r="D6" s="17"/>
      <c r="E6" s="17"/>
      <c r="F6" s="17"/>
      <c r="G6" s="17"/>
      <c r="H6" s="17"/>
      <c r="I6" s="17"/>
    </row>
    <row r="7" customFormat="false" ht="15" hidden="false" customHeight="false" outlineLevel="0" collapsed="false">
      <c r="A7" s="9" t="s">
        <v>38</v>
      </c>
      <c r="B7" s="18" t="n">
        <v>305831</v>
      </c>
      <c r="C7" s="18" t="n">
        <v>120600</v>
      </c>
      <c r="D7" s="18" t="n">
        <v>99773</v>
      </c>
      <c r="E7" s="18" t="n">
        <v>87328</v>
      </c>
      <c r="F7" s="18" t="n">
        <v>0</v>
      </c>
      <c r="G7" s="19" t="n">
        <f aca="false">SUM(B7:F7)</f>
        <v>613532</v>
      </c>
      <c r="H7" s="18" t="n">
        <v>295074</v>
      </c>
      <c r="I7" s="18" t="n">
        <v>648000</v>
      </c>
    </row>
    <row r="8" customFormat="false" ht="15" hidden="false" customHeight="false" outlineLevel="0" collapsed="false">
      <c r="A8" s="9" t="s">
        <v>39</v>
      </c>
      <c r="B8" s="18" t="n">
        <v>786530</v>
      </c>
      <c r="C8" s="18" t="n">
        <v>245874</v>
      </c>
      <c r="D8" s="18" t="n">
        <v>273853</v>
      </c>
      <c r="E8" s="18" t="n">
        <v>222814</v>
      </c>
      <c r="F8" s="18" t="n">
        <v>0</v>
      </c>
      <c r="G8" s="19" t="n">
        <f aca="false">SUM(B8:F8)</f>
        <v>1529071</v>
      </c>
      <c r="H8" s="18" t="n">
        <v>756600</v>
      </c>
      <c r="I8" s="18" t="n">
        <v>1615000</v>
      </c>
    </row>
    <row r="9" customFormat="false" ht="15" hidden="false" customHeight="false" outlineLevel="0" collapsed="false">
      <c r="A9" s="9" t="s">
        <v>40</v>
      </c>
      <c r="B9" s="18" t="n">
        <v>392056</v>
      </c>
      <c r="C9" s="18" t="n">
        <v>101209</v>
      </c>
      <c r="D9" s="18" t="n">
        <v>65375</v>
      </c>
      <c r="E9" s="18" t="n">
        <v>113391</v>
      </c>
      <c r="F9" s="18" t="n">
        <v>0</v>
      </c>
      <c r="G9" s="19" t="n">
        <f aca="false">SUM(B9:F9)</f>
        <v>672031</v>
      </c>
      <c r="H9" s="18" t="n">
        <v>348508</v>
      </c>
      <c r="I9" s="18" t="n">
        <v>703032</v>
      </c>
    </row>
    <row r="10" customFormat="false" ht="15" hidden="false" customHeight="false" outlineLevel="0" collapsed="false">
      <c r="A10" s="9" t="s">
        <v>41</v>
      </c>
      <c r="B10" s="18" t="n">
        <v>308319</v>
      </c>
      <c r="C10" s="18" t="n">
        <v>50715</v>
      </c>
      <c r="D10" s="18" t="n">
        <v>69916</v>
      </c>
      <c r="E10" s="18" t="n">
        <v>43558</v>
      </c>
      <c r="F10" s="18" t="n">
        <v>0</v>
      </c>
      <c r="G10" s="19" t="n">
        <f aca="false">SUM(B10:F10)</f>
        <v>472508</v>
      </c>
      <c r="H10" s="18" t="n">
        <v>295074</v>
      </c>
      <c r="I10" s="18" t="n">
        <v>487800</v>
      </c>
    </row>
    <row r="11" customFormat="false" ht="15" hidden="false" customHeight="false" outlineLevel="0" collapsed="false">
      <c r="A11" s="9" t="s">
        <v>42</v>
      </c>
      <c r="B11" s="18" t="n">
        <v>116594</v>
      </c>
      <c r="C11" s="18" t="n">
        <v>22155</v>
      </c>
      <c r="D11" s="18" t="n">
        <v>33301</v>
      </c>
      <c r="E11" s="18" t="n">
        <v>16226</v>
      </c>
      <c r="F11" s="18" t="n">
        <v>0</v>
      </c>
      <c r="G11" s="19" t="n">
        <f aca="false">SUM(B11:F11)</f>
        <v>188276</v>
      </c>
      <c r="H11" s="18" t="n">
        <v>113490</v>
      </c>
      <c r="I11" s="18" t="n">
        <v>198000</v>
      </c>
    </row>
    <row r="12" customFormat="false" ht="15" hidden="false" customHeight="false" outlineLevel="0" collapsed="false">
      <c r="A12" s="20" t="s">
        <v>43</v>
      </c>
      <c r="B12" s="21" t="n">
        <f aca="false">SUM(B7:B11)</f>
        <v>1909330</v>
      </c>
      <c r="C12" s="21" t="n">
        <f aca="false">SUM(C7:C11)</f>
        <v>540553</v>
      </c>
      <c r="D12" s="21" t="n">
        <f aca="false">SUM(D7:D11)</f>
        <v>542218</v>
      </c>
      <c r="E12" s="21" t="n">
        <f aca="false">SUM(E7:E11)</f>
        <v>483317</v>
      </c>
      <c r="F12" s="21" t="n">
        <f aca="false">SUM(F7:F11)</f>
        <v>0</v>
      </c>
      <c r="G12" s="21" t="n">
        <f aca="false">SUM(B12:F12)</f>
        <v>3475418</v>
      </c>
      <c r="H12" s="21" t="n">
        <f aca="false">SUM(H7:H11)</f>
        <v>1808746</v>
      </c>
      <c r="I12" s="21" t="n">
        <f aca="false">SUM(I7:I11)</f>
        <v>3651832</v>
      </c>
    </row>
    <row r="14" customFormat="false" ht="15" hidden="false" customHeight="false" outlineLevel="0" collapsed="false">
      <c r="A14" s="16" t="s">
        <v>44</v>
      </c>
      <c r="B14" s="17"/>
      <c r="C14" s="17"/>
      <c r="D14" s="17"/>
      <c r="E14" s="17"/>
      <c r="F14" s="17"/>
      <c r="G14" s="17"/>
      <c r="H14" s="17"/>
      <c r="I14" s="17"/>
    </row>
    <row r="15" customFormat="false" ht="15" hidden="false" customHeight="false" outlineLevel="0" collapsed="false">
      <c r="A15" s="9" t="s">
        <v>45</v>
      </c>
      <c r="B15" s="18" t="n">
        <v>572799</v>
      </c>
      <c r="C15" s="18" t="n">
        <v>162166</v>
      </c>
      <c r="D15" s="18" t="n">
        <v>192487</v>
      </c>
      <c r="E15" s="18" t="n">
        <v>144995</v>
      </c>
      <c r="F15" s="18" t="n">
        <v>0</v>
      </c>
      <c r="G15" s="19" t="n">
        <f aca="false">SUM(B15:F15)</f>
        <v>1072447</v>
      </c>
      <c r="H15" s="18" t="n">
        <v>542624</v>
      </c>
      <c r="I15" s="18" t="n">
        <v>1095550</v>
      </c>
    </row>
    <row r="16" customFormat="false" ht="15" hidden="false" customHeight="false" outlineLevel="0" collapsed="false">
      <c r="A16" s="9" t="s">
        <v>46</v>
      </c>
      <c r="B16" s="18" t="n">
        <v>150000</v>
      </c>
      <c r="C16" s="18" t="n">
        <v>50000</v>
      </c>
      <c r="D16" s="18" t="n">
        <v>116667</v>
      </c>
      <c r="E16" s="18" t="n">
        <v>50000</v>
      </c>
      <c r="F16" s="18" t="n">
        <v>0</v>
      </c>
      <c r="G16" s="19" t="n">
        <f aca="false">SUM(B16:F16)</f>
        <v>366667</v>
      </c>
      <c r="H16" s="18" t="n">
        <v>150000</v>
      </c>
      <c r="I16" s="18" t="n">
        <v>325000</v>
      </c>
    </row>
    <row r="17" customFormat="false" ht="15" hidden="false" customHeight="false" outlineLevel="0" collapsed="false">
      <c r="A17" s="9" t="s">
        <v>47</v>
      </c>
      <c r="B17" s="18" t="n">
        <v>57280</v>
      </c>
      <c r="C17" s="18" t="n">
        <v>16217</v>
      </c>
      <c r="D17" s="18" t="n">
        <v>16267</v>
      </c>
      <c r="E17" s="18" t="n">
        <v>14500</v>
      </c>
      <c r="F17" s="18" t="n">
        <v>0</v>
      </c>
      <c r="G17" s="19" t="n">
        <f aca="false">SUM(B17:F17)</f>
        <v>104264</v>
      </c>
      <c r="H17" s="18" t="n">
        <v>54262</v>
      </c>
      <c r="I17" s="18" t="n">
        <v>109555</v>
      </c>
    </row>
    <row r="18" customFormat="false" ht="15" hidden="false" customHeight="false" outlineLevel="0" collapsed="false">
      <c r="A18" s="9" t="s">
        <v>48</v>
      </c>
      <c r="B18" s="18" t="n">
        <v>130104</v>
      </c>
      <c r="C18" s="18" t="n">
        <v>38190</v>
      </c>
      <c r="D18" s="18" t="n">
        <v>55648</v>
      </c>
      <c r="E18" s="18" t="n">
        <v>35099</v>
      </c>
      <c r="F18" s="18" t="n">
        <v>0</v>
      </c>
      <c r="G18" s="19" t="n">
        <f aca="false">SUM(B18:F18)</f>
        <v>259041</v>
      </c>
      <c r="H18" s="18" t="n">
        <v>124672</v>
      </c>
      <c r="I18" s="18" t="n">
        <v>255699</v>
      </c>
    </row>
    <row r="19" customFormat="false" ht="15" hidden="false" customHeight="false" outlineLevel="0" collapsed="false">
      <c r="A19" s="9" t="s">
        <v>49</v>
      </c>
      <c r="B19" s="18" t="n">
        <v>57280</v>
      </c>
      <c r="C19" s="18" t="n">
        <v>5406</v>
      </c>
      <c r="D19" s="18" t="n">
        <v>5422</v>
      </c>
      <c r="E19" s="18" t="n">
        <v>4833</v>
      </c>
      <c r="F19" s="18" t="n">
        <v>0</v>
      </c>
      <c r="G19" s="19" t="n">
        <f aca="false">SUM(B19:F19)</f>
        <v>72941</v>
      </c>
      <c r="H19" s="18" t="n">
        <v>54262</v>
      </c>
      <c r="I19" s="18" t="n">
        <v>74547</v>
      </c>
    </row>
    <row r="20" customFormat="false" ht="15" hidden="false" customHeight="false" outlineLevel="0" collapsed="false">
      <c r="A20" s="20" t="s">
        <v>50</v>
      </c>
      <c r="B20" s="21" t="n">
        <f aca="false">SUM(B15:B19)</f>
        <v>967463</v>
      </c>
      <c r="C20" s="21" t="n">
        <f aca="false">SUM(C15:C19)</f>
        <v>271979</v>
      </c>
      <c r="D20" s="21" t="n">
        <f aca="false">SUM(D15:D19)</f>
        <v>386491</v>
      </c>
      <c r="E20" s="21" t="n">
        <f aca="false">SUM(E15:E19)</f>
        <v>249427</v>
      </c>
      <c r="F20" s="21" t="n">
        <f aca="false">SUM(F15:F19)</f>
        <v>0</v>
      </c>
      <c r="G20" s="21" t="n">
        <f aca="false">SUM(B20:F20)</f>
        <v>1875360</v>
      </c>
      <c r="H20" s="21" t="n">
        <f aca="false">SUM(H15:H19)</f>
        <v>925820</v>
      </c>
      <c r="I20" s="21" t="n">
        <f aca="false">SUM(I15:I19)</f>
        <v>1860351</v>
      </c>
    </row>
    <row r="21" customFormat="false" ht="15" hidden="false" customHeight="false" outlineLevel="0" collapsed="false">
      <c r="A21" s="20" t="s">
        <v>51</v>
      </c>
      <c r="B21" s="21" t="n">
        <f aca="false">B12-B20</f>
        <v>941867</v>
      </c>
      <c r="C21" s="21" t="n">
        <f aca="false">C12-C20</f>
        <v>268574</v>
      </c>
      <c r="D21" s="21" t="n">
        <f aca="false">D12-D20</f>
        <v>155727</v>
      </c>
      <c r="E21" s="21" t="n">
        <f aca="false">E12-E20</f>
        <v>233890</v>
      </c>
      <c r="F21" s="21" t="n">
        <f aca="false">F12-F20</f>
        <v>0</v>
      </c>
      <c r="G21" s="21" t="n">
        <f aca="false">SUM(B21:F21)</f>
        <v>1600058</v>
      </c>
      <c r="H21" s="21" t="n">
        <f aca="false">H12-H20</f>
        <v>882926</v>
      </c>
      <c r="I21" s="21" t="n">
        <f aca="false">I12-I20</f>
        <v>1791481</v>
      </c>
    </row>
    <row r="22" customFormat="false" ht="15" hidden="false" customHeight="false" outlineLevel="0" collapsed="false">
      <c r="A22" s="22" t="s">
        <v>52</v>
      </c>
      <c r="B22" s="23" t="n">
        <f aca="false">IF(B12=0,0,B21/B12)</f>
        <v>0.493297125169562</v>
      </c>
      <c r="C22" s="23" t="n">
        <f aca="false">IF(C12=0,0,C21/C12)</f>
        <v>0.496850447597183</v>
      </c>
      <c r="D22" s="23" t="n">
        <f aca="false">IF(D12=0,0,D21/D12)</f>
        <v>0.287203670848257</v>
      </c>
      <c r="E22" s="23" t="n">
        <f aca="false">IF(E12=0,0,E21/E12)</f>
        <v>0.48392669821256</v>
      </c>
      <c r="G22" s="23" t="n">
        <f aca="false">IF(G12=0,0,G21/G12)</f>
        <v>0.460392965680675</v>
      </c>
      <c r="H22" s="23" t="n">
        <f aca="false">IF(H12=0,0,H21/H12)</f>
        <v>0.488142613722435</v>
      </c>
      <c r="I22" s="23" t="n">
        <f aca="false">IF(I12=0,0,I21/I12)</f>
        <v>0.490570486265524</v>
      </c>
    </row>
    <row r="24" customFormat="false" ht="15" hidden="false" customHeight="false" outlineLevel="0" collapsed="false">
      <c r="A24" s="16" t="s">
        <v>53</v>
      </c>
      <c r="B24" s="17"/>
      <c r="C24" s="17"/>
      <c r="D24" s="17"/>
      <c r="E24" s="17"/>
      <c r="F24" s="17"/>
      <c r="G24" s="17"/>
      <c r="H24" s="17"/>
      <c r="I24" s="17"/>
    </row>
    <row r="25" customFormat="false" ht="15" hidden="false" customHeight="false" outlineLevel="0" collapsed="false">
      <c r="A25" s="9" t="s">
        <v>54</v>
      </c>
      <c r="B25" s="18" t="n">
        <v>95466</v>
      </c>
      <c r="C25" s="18" t="n">
        <v>27028</v>
      </c>
      <c r="D25" s="18" t="n">
        <v>27111</v>
      </c>
      <c r="E25" s="18" t="n">
        <v>24166</v>
      </c>
      <c r="F25" s="18" t="n">
        <v>0</v>
      </c>
      <c r="G25" s="19" t="n">
        <f aca="false">SUM(B25:F25)</f>
        <v>173771</v>
      </c>
      <c r="H25" s="18" t="n">
        <v>90437</v>
      </c>
      <c r="I25" s="18" t="n">
        <v>182592</v>
      </c>
    </row>
    <row r="26" customFormat="false" ht="15" hidden="false" customHeight="false" outlineLevel="0" collapsed="false">
      <c r="A26" s="9" t="s">
        <v>55</v>
      </c>
      <c r="B26" s="18" t="n">
        <v>76373</v>
      </c>
      <c r="C26" s="18" t="n">
        <v>21622</v>
      </c>
      <c r="D26" s="18" t="n">
        <v>27111</v>
      </c>
      <c r="E26" s="18" t="n">
        <v>19333</v>
      </c>
      <c r="F26" s="18" t="n">
        <v>0</v>
      </c>
      <c r="G26" s="19" t="n">
        <f aca="false">SUM(B26:F26)</f>
        <v>144439</v>
      </c>
      <c r="H26" s="18" t="n">
        <v>72350</v>
      </c>
      <c r="I26" s="18" t="n">
        <v>152482</v>
      </c>
    </row>
    <row r="27" customFormat="false" ht="15" hidden="false" customHeight="false" outlineLevel="0" collapsed="false">
      <c r="A27" s="9" t="s">
        <v>56</v>
      </c>
      <c r="B27" s="18" t="n">
        <v>105013</v>
      </c>
      <c r="C27" s="18" t="n">
        <v>29730</v>
      </c>
      <c r="D27" s="18" t="n">
        <v>29822</v>
      </c>
      <c r="E27" s="18" t="n">
        <v>26582</v>
      </c>
      <c r="F27" s="18" t="n">
        <v>0</v>
      </c>
      <c r="G27" s="19" t="n">
        <f aca="false">SUM(B27:F27)</f>
        <v>191147</v>
      </c>
      <c r="H27" s="18" t="n">
        <v>99481</v>
      </c>
      <c r="I27" s="18" t="n">
        <v>200851</v>
      </c>
    </row>
    <row r="28" customFormat="false" ht="15" hidden="false" customHeight="false" outlineLevel="0" collapsed="false">
      <c r="A28" s="9" t="s">
        <v>57</v>
      </c>
      <c r="B28" s="18" t="n">
        <v>22912</v>
      </c>
      <c r="C28" s="18" t="n">
        <v>6487</v>
      </c>
      <c r="D28" s="18" t="n">
        <v>6507</v>
      </c>
      <c r="E28" s="18" t="n">
        <v>5800</v>
      </c>
      <c r="F28" s="18" t="n">
        <v>0</v>
      </c>
      <c r="G28" s="19" t="n">
        <f aca="false">SUM(B28:F28)</f>
        <v>41706</v>
      </c>
      <c r="H28" s="18" t="n">
        <v>21705</v>
      </c>
      <c r="I28" s="18" t="n">
        <v>43822</v>
      </c>
    </row>
    <row r="29" customFormat="false" ht="15" hidden="false" customHeight="false" outlineLevel="0" collapsed="false">
      <c r="A29" s="9" t="s">
        <v>58</v>
      </c>
      <c r="B29" s="18" t="n">
        <v>15275</v>
      </c>
      <c r="C29" s="18" t="n">
        <v>4324</v>
      </c>
      <c r="D29" s="18" t="n">
        <v>4338</v>
      </c>
      <c r="E29" s="18" t="n">
        <v>3867</v>
      </c>
      <c r="F29" s="18" t="n">
        <v>0</v>
      </c>
      <c r="G29" s="19" t="n">
        <f aca="false">SUM(B29:F29)</f>
        <v>27804</v>
      </c>
      <c r="H29" s="18" t="n">
        <v>14470</v>
      </c>
      <c r="I29" s="18" t="n">
        <v>29214</v>
      </c>
    </row>
    <row r="30" customFormat="false" ht="15" hidden="false" customHeight="false" outlineLevel="0" collapsed="false">
      <c r="A30" s="9" t="s">
        <v>59</v>
      </c>
      <c r="B30" s="18" t="n">
        <v>19093</v>
      </c>
      <c r="C30" s="18" t="n">
        <v>5406</v>
      </c>
      <c r="D30" s="18" t="n">
        <v>5422</v>
      </c>
      <c r="E30" s="18" t="n">
        <v>4833</v>
      </c>
      <c r="F30" s="18" t="n">
        <v>0</v>
      </c>
      <c r="G30" s="19" t="n">
        <f aca="false">SUM(B30:F30)</f>
        <v>34754</v>
      </c>
      <c r="H30" s="18" t="n">
        <v>18087</v>
      </c>
      <c r="I30" s="18" t="n">
        <v>36518</v>
      </c>
    </row>
    <row r="31" customFormat="false" ht="15" hidden="false" customHeight="false" outlineLevel="0" collapsed="false">
      <c r="A31" s="9" t="s">
        <v>60</v>
      </c>
      <c r="B31" s="18" t="n">
        <v>28640</v>
      </c>
      <c r="C31" s="18" t="n">
        <v>8108</v>
      </c>
      <c r="D31" s="18" t="n">
        <v>8133</v>
      </c>
      <c r="E31" s="18" t="n">
        <v>7250</v>
      </c>
      <c r="F31" s="18" t="n">
        <v>0</v>
      </c>
      <c r="G31" s="19" t="n">
        <f aca="false">SUM(B31:F31)</f>
        <v>52131</v>
      </c>
      <c r="H31" s="18" t="n">
        <v>27131</v>
      </c>
      <c r="I31" s="18" t="n">
        <v>54777</v>
      </c>
    </row>
    <row r="32" customFormat="false" ht="15" hidden="false" customHeight="false" outlineLevel="0" collapsed="false">
      <c r="A32" s="20" t="s">
        <v>61</v>
      </c>
      <c r="B32" s="21" t="n">
        <f aca="false">SUM(B25:B31)</f>
        <v>362772</v>
      </c>
      <c r="C32" s="21" t="n">
        <f aca="false">SUM(C25:C31)</f>
        <v>102705</v>
      </c>
      <c r="D32" s="21" t="n">
        <f aca="false">SUM(D25:D31)</f>
        <v>108444</v>
      </c>
      <c r="E32" s="21" t="n">
        <f aca="false">SUM(E25:E31)</f>
        <v>91831</v>
      </c>
      <c r="F32" s="21" t="n">
        <f aca="false">SUM(F25:F31)</f>
        <v>0</v>
      </c>
      <c r="G32" s="21" t="n">
        <f aca="false">SUM(B32:F32)</f>
        <v>665752</v>
      </c>
      <c r="H32" s="21" t="n">
        <f aca="false">SUM(H25:H31)</f>
        <v>343661</v>
      </c>
      <c r="I32" s="21" t="n">
        <f aca="false">SUM(I25:I31)</f>
        <v>700256</v>
      </c>
    </row>
    <row r="34" customFormat="false" ht="15" hidden="false" customHeight="false" outlineLevel="0" collapsed="false">
      <c r="A34" s="16" t="s">
        <v>33</v>
      </c>
      <c r="B34" s="17"/>
      <c r="C34" s="17"/>
      <c r="D34" s="17"/>
      <c r="E34" s="17"/>
      <c r="F34" s="17"/>
      <c r="G34" s="17"/>
      <c r="H34" s="17"/>
      <c r="I34" s="17"/>
    </row>
    <row r="35" customFormat="false" ht="15" hidden="false" customHeight="false" outlineLevel="0" collapsed="false">
      <c r="A35" s="9" t="s">
        <v>62</v>
      </c>
      <c r="B35" s="18" t="n">
        <v>0</v>
      </c>
      <c r="C35" s="18" t="n">
        <v>0</v>
      </c>
      <c r="D35" s="18" t="n">
        <v>0</v>
      </c>
      <c r="E35" s="18" t="n">
        <v>0</v>
      </c>
      <c r="F35" s="18" t="n">
        <v>110000</v>
      </c>
      <c r="G35" s="19" t="n">
        <f aca="false">SUM(B35:F35)</f>
        <v>110000</v>
      </c>
      <c r="H35" s="18" t="n">
        <v>45000</v>
      </c>
      <c r="I35" s="18" t="n">
        <v>110000</v>
      </c>
    </row>
    <row r="36" customFormat="false" ht="15" hidden="false" customHeight="false" outlineLevel="0" collapsed="false">
      <c r="A36" s="9" t="s">
        <v>63</v>
      </c>
      <c r="B36" s="18" t="n">
        <v>0</v>
      </c>
      <c r="C36" s="18" t="n">
        <v>0</v>
      </c>
      <c r="D36" s="18" t="n">
        <v>0</v>
      </c>
      <c r="E36" s="18" t="n">
        <v>0</v>
      </c>
      <c r="F36" s="18" t="n">
        <v>45000</v>
      </c>
      <c r="G36" s="19" t="n">
        <f aca="false">SUM(B36:F36)</f>
        <v>45000</v>
      </c>
      <c r="H36" s="18" t="n">
        <v>0</v>
      </c>
      <c r="I36" s="18" t="n">
        <v>0</v>
      </c>
    </row>
    <row r="37" customFormat="false" ht="15" hidden="false" customHeight="false" outlineLevel="0" collapsed="false">
      <c r="A37" s="9" t="s">
        <v>64</v>
      </c>
      <c r="B37" s="18" t="n">
        <v>0</v>
      </c>
      <c r="C37" s="18" t="n">
        <v>0</v>
      </c>
      <c r="D37" s="18" t="n">
        <v>0</v>
      </c>
      <c r="E37" s="18" t="n">
        <v>0</v>
      </c>
      <c r="F37" s="18" t="n">
        <v>60000</v>
      </c>
      <c r="G37" s="19" t="n">
        <f aca="false">SUM(B37:F37)</f>
        <v>60000</v>
      </c>
      <c r="H37" s="18" t="n">
        <v>0</v>
      </c>
      <c r="I37" s="18" t="n">
        <v>0</v>
      </c>
    </row>
    <row r="38" customFormat="false" ht="15" hidden="false" customHeight="false" outlineLevel="0" collapsed="false">
      <c r="A38" s="9" t="s">
        <v>65</v>
      </c>
      <c r="B38" s="18" t="n">
        <v>0</v>
      </c>
      <c r="C38" s="18" t="n">
        <v>0</v>
      </c>
      <c r="D38" s="18" t="n">
        <v>0</v>
      </c>
      <c r="E38" s="18" t="n">
        <v>0</v>
      </c>
      <c r="F38" s="18" t="n">
        <v>35000</v>
      </c>
      <c r="G38" s="19" t="n">
        <f aca="false">SUM(B38:F38)</f>
        <v>35000</v>
      </c>
      <c r="H38" s="18" t="n">
        <v>35000</v>
      </c>
      <c r="I38" s="18" t="n">
        <v>35000</v>
      </c>
    </row>
    <row r="39" customFormat="false" ht="15" hidden="false" customHeight="false" outlineLevel="0" collapsed="false">
      <c r="A39" s="20" t="s">
        <v>66</v>
      </c>
      <c r="B39" s="21" t="n">
        <f aca="false">SUM(B35:B38)</f>
        <v>0</v>
      </c>
      <c r="C39" s="21" t="n">
        <f aca="false">SUM(C35:C38)</f>
        <v>0</v>
      </c>
      <c r="D39" s="21" t="n">
        <f aca="false">SUM(D35:D38)</f>
        <v>0</v>
      </c>
      <c r="E39" s="21" t="n">
        <f aca="false">SUM(E35:E38)</f>
        <v>0</v>
      </c>
      <c r="F39" s="21" t="n">
        <f aca="false">SUM(F35:F38)</f>
        <v>250000</v>
      </c>
      <c r="G39" s="21" t="n">
        <f aca="false">SUM(B39:F39)</f>
        <v>250000</v>
      </c>
      <c r="H39" s="21" t="n">
        <f aca="false">SUM(H35:H38)</f>
        <v>80000</v>
      </c>
      <c r="I39" s="21" t="n">
        <f aca="false">SUM(I35:I38)</f>
        <v>145000</v>
      </c>
    </row>
    <row r="41" customFormat="false" ht="15" hidden="false" customHeight="false" outlineLevel="0" collapsed="false">
      <c r="A41" s="20" t="s">
        <v>18</v>
      </c>
      <c r="B41" s="21" t="n">
        <f aca="false">B21-B32-B39</f>
        <v>579095</v>
      </c>
      <c r="C41" s="21" t="n">
        <f aca="false">C21-C32-C39</f>
        <v>165869</v>
      </c>
      <c r="D41" s="21" t="n">
        <f aca="false">D21-D32-D39</f>
        <v>47283</v>
      </c>
      <c r="E41" s="21" t="n">
        <f aca="false">E21-E32-E39</f>
        <v>142059</v>
      </c>
      <c r="F41" s="21" t="n">
        <f aca="false">F21-F32-F39</f>
        <v>-250000</v>
      </c>
      <c r="G41" s="21" t="n">
        <f aca="false">SUM(B41:F41)</f>
        <v>684306</v>
      </c>
      <c r="H41" s="21" t="n">
        <f aca="false">H21-H32-H39</f>
        <v>459265</v>
      </c>
      <c r="I41" s="21" t="n">
        <f aca="false">I21-I32-I39</f>
        <v>946225</v>
      </c>
    </row>
    <row r="42" customFormat="false" ht="15" hidden="false" customHeight="false" outlineLevel="0" collapsed="false">
      <c r="A42" s="22" t="s">
        <v>67</v>
      </c>
      <c r="B42" s="23" t="n">
        <f aca="false">IF(B12=0,0,B41/B12)</f>
        <v>0.303297491790314</v>
      </c>
      <c r="C42" s="23" t="n">
        <f aca="false">IF(C12=0,0,C41/C12)</f>
        <v>0.306850577094198</v>
      </c>
      <c r="D42" s="23" t="n">
        <f aca="false">IF(D12=0,0,D41/D12)</f>
        <v>0.0872029331375941</v>
      </c>
      <c r="E42" s="23" t="n">
        <f aca="false">IF(E12=0,0,E41/E12)</f>
        <v>0.293925105055274</v>
      </c>
      <c r="G42" s="23" t="n">
        <f aca="false">IF(G12=0,0,G41/G12)</f>
        <v>0.196898905397854</v>
      </c>
      <c r="H42" s="23" t="n">
        <f aca="false">IF(H12=0,0,H41/H12)</f>
        <v>0.25391348481213</v>
      </c>
      <c r="I42" s="23" t="n">
        <f aca="false">IF(I12=0,0,I41/I12)</f>
        <v>0.2591096742676</v>
      </c>
    </row>
    <row r="44" customFormat="false" ht="15" hidden="false" customHeight="false" outlineLevel="0" collapsed="false">
      <c r="A44" s="22" t="s">
        <v>68</v>
      </c>
    </row>
  </sheetData>
  <mergeCells count="3">
    <mergeCell ref="A1:I1"/>
    <mergeCell ref="A2:I2"/>
    <mergeCell ref="A3:I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13" min="2" style="0" width="11.5"/>
  </cols>
  <sheetData>
    <row r="1" customFormat="false" ht="16.15" hidden="false" customHeight="false" outlineLevel="0" collapsed="false">
      <c r="A1" s="5" t="s">
        <v>0</v>
      </c>
      <c r="B1" s="5"/>
      <c r="C1" s="5"/>
      <c r="D1" s="5"/>
      <c r="E1" s="5"/>
      <c r="F1" s="5"/>
      <c r="G1" s="5"/>
      <c r="H1" s="5"/>
      <c r="I1" s="5"/>
      <c r="J1" s="5"/>
      <c r="K1" s="5"/>
      <c r="L1" s="5"/>
      <c r="M1" s="5"/>
      <c r="N1" s="5"/>
    </row>
    <row r="2" customFormat="false" ht="15" hidden="false" customHeight="false" outlineLevel="0" collapsed="false">
      <c r="A2" s="6" t="s">
        <v>69</v>
      </c>
      <c r="B2" s="6"/>
      <c r="C2" s="6"/>
      <c r="D2" s="6"/>
      <c r="E2" s="6"/>
      <c r="F2" s="6"/>
      <c r="G2" s="6"/>
      <c r="H2" s="6"/>
      <c r="I2" s="6"/>
      <c r="J2" s="6"/>
      <c r="K2" s="6"/>
      <c r="L2" s="6"/>
      <c r="M2" s="6"/>
      <c r="N2" s="6"/>
    </row>
    <row r="3" customFormat="false" ht="15" hidden="false" customHeight="false" outlineLevel="0" collapsed="false">
      <c r="A3" s="7" t="s">
        <v>28</v>
      </c>
      <c r="B3" s="7"/>
      <c r="C3" s="7"/>
      <c r="D3" s="7"/>
      <c r="E3" s="7"/>
      <c r="F3" s="7"/>
      <c r="G3" s="7"/>
      <c r="H3" s="7"/>
      <c r="I3" s="7"/>
      <c r="J3" s="7"/>
      <c r="K3" s="7"/>
      <c r="L3" s="7"/>
      <c r="M3" s="7"/>
      <c r="N3" s="7"/>
    </row>
    <row r="5" customFormat="false" ht="15" hidden="false" customHeight="false" outlineLevel="0" collapsed="false">
      <c r="A5" s="8" t="s">
        <v>70</v>
      </c>
      <c r="B5" s="8" t="s">
        <v>71</v>
      </c>
      <c r="C5" s="8" t="s">
        <v>72</v>
      </c>
      <c r="D5" s="8" t="s">
        <v>73</v>
      </c>
      <c r="E5" s="8" t="s">
        <v>74</v>
      </c>
      <c r="F5" s="8" t="s">
        <v>75</v>
      </c>
      <c r="G5" s="8" t="s">
        <v>76</v>
      </c>
      <c r="H5" s="8" t="s">
        <v>77</v>
      </c>
      <c r="I5" s="8" t="s">
        <v>78</v>
      </c>
      <c r="J5" s="8" t="s">
        <v>12</v>
      </c>
      <c r="K5" s="8" t="s">
        <v>15</v>
      </c>
      <c r="L5" s="8" t="s">
        <v>79</v>
      </c>
      <c r="M5" s="8" t="s">
        <v>16</v>
      </c>
    </row>
    <row r="6" customFormat="false" ht="15" hidden="false" customHeight="false" outlineLevel="0" collapsed="false">
      <c r="A6" s="16" t="s">
        <v>37</v>
      </c>
      <c r="B6" s="17"/>
      <c r="C6" s="17"/>
      <c r="D6" s="17"/>
      <c r="E6" s="17"/>
      <c r="F6" s="17"/>
      <c r="G6" s="17"/>
      <c r="H6" s="17"/>
      <c r="I6" s="17"/>
      <c r="J6" s="17"/>
      <c r="K6" s="17"/>
      <c r="L6" s="17"/>
      <c r="M6" s="17"/>
    </row>
    <row r="7" customFormat="false" ht="15" hidden="false" customHeight="false" outlineLevel="0" collapsed="false">
      <c r="A7" s="9" t="s">
        <v>38</v>
      </c>
      <c r="B7" s="18" t="n">
        <v>298153</v>
      </c>
      <c r="C7" s="18" t="n">
        <v>594568</v>
      </c>
      <c r="D7" s="18" t="n">
        <v>1220992</v>
      </c>
      <c r="E7" s="18" t="n">
        <v>1605967</v>
      </c>
      <c r="F7" s="18" t="n">
        <v>246436</v>
      </c>
      <c r="G7" s="18" t="n">
        <v>181751</v>
      </c>
      <c r="H7" s="18" t="n">
        <v>206080</v>
      </c>
      <c r="I7" s="18" t="n">
        <v>271275</v>
      </c>
      <c r="J7" s="18" t="n">
        <v>613532</v>
      </c>
      <c r="K7" s="24" t="n">
        <f aca="false">SUM(B7:J7)</f>
        <v>5238754</v>
      </c>
      <c r="L7" s="18" t="n">
        <v>5348400</v>
      </c>
      <c r="M7" s="18" t="n">
        <v>2852382</v>
      </c>
    </row>
    <row r="8" customFormat="false" ht="15" hidden="false" customHeight="false" outlineLevel="0" collapsed="false">
      <c r="A8" s="9" t="s">
        <v>39</v>
      </c>
      <c r="B8" s="18" t="n">
        <v>371848</v>
      </c>
      <c r="C8" s="18" t="n">
        <v>698282</v>
      </c>
      <c r="D8" s="18" t="n">
        <v>1314485</v>
      </c>
      <c r="E8" s="18" t="n">
        <v>680227</v>
      </c>
      <c r="F8" s="18" t="n">
        <v>411227</v>
      </c>
      <c r="G8" s="18" t="n">
        <v>403437</v>
      </c>
      <c r="H8" s="18" t="n">
        <v>464924</v>
      </c>
      <c r="I8" s="18" t="n">
        <v>617907</v>
      </c>
      <c r="J8" s="18" t="n">
        <v>1529071</v>
      </c>
      <c r="K8" s="24" t="n">
        <f aca="false">SUM(B8:J8)</f>
        <v>6491408</v>
      </c>
      <c r="L8" s="18" t="n">
        <v>6663050</v>
      </c>
      <c r="M8" s="18" t="n">
        <v>3593850</v>
      </c>
    </row>
    <row r="9" customFormat="false" ht="15" hidden="false" customHeight="false" outlineLevel="0" collapsed="false">
      <c r="A9" s="9" t="s">
        <v>40</v>
      </c>
      <c r="B9" s="18" t="n">
        <v>478557</v>
      </c>
      <c r="C9" s="18" t="n">
        <v>480975</v>
      </c>
      <c r="D9" s="18" t="n">
        <v>565209</v>
      </c>
      <c r="E9" s="18" t="n">
        <v>564212</v>
      </c>
      <c r="F9" s="18" t="n">
        <v>567727</v>
      </c>
      <c r="G9" s="18" t="n">
        <v>564195</v>
      </c>
      <c r="H9" s="18" t="n">
        <v>676600</v>
      </c>
      <c r="I9" s="18" t="n">
        <v>672989</v>
      </c>
      <c r="J9" s="18" t="n">
        <v>672031</v>
      </c>
      <c r="K9" s="24" t="n">
        <f aca="false">SUM(B9:J9)</f>
        <v>5242495</v>
      </c>
      <c r="L9" s="18" t="n">
        <v>5355144</v>
      </c>
      <c r="M9" s="18" t="n">
        <v>3009728</v>
      </c>
    </row>
    <row r="10" customFormat="false" ht="15" hidden="false" customHeight="false" outlineLevel="0" collapsed="false">
      <c r="A10" s="9" t="s">
        <v>41</v>
      </c>
      <c r="B10" s="18" t="n">
        <v>365022</v>
      </c>
      <c r="C10" s="18" t="n">
        <v>529122</v>
      </c>
      <c r="D10" s="18" t="n">
        <v>731202</v>
      </c>
      <c r="E10" s="18" t="n">
        <v>679115</v>
      </c>
      <c r="F10" s="18" t="n">
        <v>436637</v>
      </c>
      <c r="G10" s="18" t="n">
        <v>379424</v>
      </c>
      <c r="H10" s="18" t="n">
        <v>519653</v>
      </c>
      <c r="I10" s="18" t="n">
        <v>523049</v>
      </c>
      <c r="J10" s="18" t="n">
        <v>472508</v>
      </c>
      <c r="K10" s="24" t="n">
        <f aca="false">SUM(B10:J10)</f>
        <v>4635732</v>
      </c>
      <c r="L10" s="18" t="n">
        <v>4730800</v>
      </c>
      <c r="M10" s="18" t="n">
        <v>3180242</v>
      </c>
    </row>
    <row r="11" customFormat="false" ht="15" hidden="false" customHeight="false" outlineLevel="0" collapsed="false">
      <c r="A11" s="9" t="s">
        <v>42</v>
      </c>
      <c r="B11" s="18" t="n">
        <v>141751</v>
      </c>
      <c r="C11" s="18" t="n">
        <v>141712</v>
      </c>
      <c r="D11" s="18" t="n">
        <v>179615</v>
      </c>
      <c r="E11" s="18" t="n">
        <v>180947</v>
      </c>
      <c r="F11" s="18" t="n">
        <v>177666</v>
      </c>
      <c r="G11" s="18" t="n">
        <v>175540</v>
      </c>
      <c r="H11" s="18" t="n">
        <v>188466</v>
      </c>
      <c r="I11" s="18" t="n">
        <v>188644</v>
      </c>
      <c r="J11" s="18" t="n">
        <v>188276</v>
      </c>
      <c r="K11" s="24" t="n">
        <f aca="false">SUM(B11:J11)</f>
        <v>1562617</v>
      </c>
      <c r="L11" s="18" t="n">
        <v>1608000</v>
      </c>
      <c r="M11" s="18" t="n">
        <v>1021410</v>
      </c>
    </row>
    <row r="12" customFormat="false" ht="15" hidden="false" customHeight="false" outlineLevel="0" collapsed="false">
      <c r="A12" s="20" t="s">
        <v>43</v>
      </c>
      <c r="B12" s="21" t="n">
        <f aca="false">SUM(B7:B11)</f>
        <v>1655331</v>
      </c>
      <c r="C12" s="21" t="n">
        <f aca="false">SUM(C7:C11)</f>
        <v>2444659</v>
      </c>
      <c r="D12" s="21" t="n">
        <f aca="false">SUM(D7:D11)</f>
        <v>4011503</v>
      </c>
      <c r="E12" s="21" t="n">
        <f aca="false">SUM(E7:E11)</f>
        <v>3710468</v>
      </c>
      <c r="F12" s="21" t="n">
        <f aca="false">SUM(F7:F11)</f>
        <v>1839693</v>
      </c>
      <c r="G12" s="21" t="n">
        <f aca="false">SUM(G7:G11)</f>
        <v>1704347</v>
      </c>
      <c r="H12" s="21" t="n">
        <f aca="false">SUM(H7:H11)</f>
        <v>2055723</v>
      </c>
      <c r="I12" s="21" t="n">
        <f aca="false">SUM(I7:I11)</f>
        <v>2273864</v>
      </c>
      <c r="J12" s="21" t="n">
        <f aca="false">SUM(J7:J11)</f>
        <v>3475418</v>
      </c>
      <c r="K12" s="25" t="n">
        <f aca="false">SUM(B12:J12)</f>
        <v>23171006</v>
      </c>
      <c r="L12" s="25" t="n">
        <f aca="false">SUM(L7:L11)</f>
        <v>23705394</v>
      </c>
      <c r="M12" s="25" t="n">
        <f aca="false">SUM(M7:M11)</f>
        <v>13657612</v>
      </c>
    </row>
    <row r="14" customFormat="false" ht="15" hidden="false" customHeight="false" outlineLevel="0" collapsed="false">
      <c r="A14" s="16" t="s">
        <v>44</v>
      </c>
      <c r="B14" s="17"/>
      <c r="C14" s="17"/>
      <c r="D14" s="17"/>
      <c r="E14" s="17"/>
      <c r="F14" s="17"/>
      <c r="G14" s="17"/>
      <c r="H14" s="17"/>
      <c r="I14" s="17"/>
      <c r="J14" s="17"/>
      <c r="K14" s="17"/>
      <c r="L14" s="17"/>
      <c r="M14" s="17"/>
    </row>
    <row r="15" customFormat="false" ht="15" hidden="false" customHeight="false" outlineLevel="0" collapsed="false">
      <c r="A15" s="9" t="s">
        <v>45</v>
      </c>
      <c r="B15" s="18" t="n">
        <v>496599</v>
      </c>
      <c r="C15" s="18" t="n">
        <v>733398</v>
      </c>
      <c r="D15" s="18" t="n">
        <v>1246783</v>
      </c>
      <c r="E15" s="18" t="n">
        <v>1151333</v>
      </c>
      <c r="F15" s="18" t="n">
        <v>569320</v>
      </c>
      <c r="G15" s="18" t="n">
        <v>527352</v>
      </c>
      <c r="H15" s="18" t="n">
        <v>633305</v>
      </c>
      <c r="I15" s="18" t="n">
        <v>700439</v>
      </c>
      <c r="J15" s="18" t="n">
        <v>1072447</v>
      </c>
      <c r="K15" s="24" t="n">
        <f aca="false">SUM(B15:J15)</f>
        <v>7130976</v>
      </c>
      <c r="L15" s="18" t="n">
        <v>7111618</v>
      </c>
      <c r="M15" s="18" t="n">
        <v>4097284</v>
      </c>
    </row>
    <row r="16" customFormat="false" ht="15" hidden="false" customHeight="false" outlineLevel="0" collapsed="false">
      <c r="A16" s="9" t="s">
        <v>46</v>
      </c>
      <c r="B16" s="18" t="n">
        <v>200000</v>
      </c>
      <c r="C16" s="18" t="n">
        <v>200000</v>
      </c>
      <c r="D16" s="18" t="n">
        <v>316667</v>
      </c>
      <c r="E16" s="18" t="n">
        <v>316667</v>
      </c>
      <c r="F16" s="18" t="n">
        <v>316667</v>
      </c>
      <c r="G16" s="18" t="n">
        <v>316667</v>
      </c>
      <c r="H16" s="18" t="n">
        <v>366667</v>
      </c>
      <c r="I16" s="18" t="n">
        <v>366667</v>
      </c>
      <c r="J16" s="18" t="n">
        <v>366667</v>
      </c>
      <c r="K16" s="24" t="n">
        <f aca="false">SUM(B16:J16)</f>
        <v>2766669</v>
      </c>
      <c r="L16" s="18" t="n">
        <v>2475000</v>
      </c>
      <c r="M16" s="18" t="n">
        <v>1350000</v>
      </c>
    </row>
    <row r="17" customFormat="false" ht="15" hidden="false" customHeight="false" outlineLevel="0" collapsed="false">
      <c r="A17" s="9" t="s">
        <v>47</v>
      </c>
      <c r="B17" s="18" t="n">
        <v>49660</v>
      </c>
      <c r="C17" s="18" t="n">
        <v>73340</v>
      </c>
      <c r="D17" s="18" t="n">
        <v>120345</v>
      </c>
      <c r="E17" s="18" t="n">
        <v>111314</v>
      </c>
      <c r="F17" s="18" t="n">
        <v>55191</v>
      </c>
      <c r="G17" s="18" t="n">
        <v>51130</v>
      </c>
      <c r="H17" s="18" t="n">
        <v>61672</v>
      </c>
      <c r="I17" s="18" t="n">
        <v>68216</v>
      </c>
      <c r="J17" s="18" t="n">
        <v>104264</v>
      </c>
      <c r="K17" s="24" t="n">
        <f aca="false">SUM(B17:J17)</f>
        <v>695132</v>
      </c>
      <c r="L17" s="18" t="n">
        <v>711162</v>
      </c>
      <c r="M17" s="18" t="n">
        <v>409728</v>
      </c>
    </row>
    <row r="18" customFormat="false" ht="15" hidden="false" customHeight="false" outlineLevel="0" collapsed="false">
      <c r="A18" s="9" t="s">
        <v>48</v>
      </c>
      <c r="B18" s="18" t="n">
        <v>125388</v>
      </c>
      <c r="C18" s="18" t="n">
        <v>168011</v>
      </c>
      <c r="D18" s="18" t="n">
        <v>281421</v>
      </c>
      <c r="E18" s="18" t="n">
        <v>264240</v>
      </c>
      <c r="F18" s="18" t="n">
        <v>159478</v>
      </c>
      <c r="G18" s="18" t="n">
        <v>151924</v>
      </c>
      <c r="H18" s="18" t="n">
        <v>179995</v>
      </c>
      <c r="I18" s="18" t="n">
        <v>192079</v>
      </c>
      <c r="J18" s="18" t="n">
        <v>259041</v>
      </c>
      <c r="K18" s="24" t="n">
        <f aca="false">SUM(B18:J18)</f>
        <v>1781577</v>
      </c>
      <c r="L18" s="18" t="n">
        <v>1725590</v>
      </c>
      <c r="M18" s="18" t="n">
        <v>980511</v>
      </c>
    </row>
    <row r="19" customFormat="false" ht="15" hidden="false" customHeight="false" outlineLevel="0" collapsed="false">
      <c r="A19" s="9" t="s">
        <v>49</v>
      </c>
      <c r="B19" s="18" t="n">
        <v>41757</v>
      </c>
      <c r="C19" s="18" t="n">
        <v>61287</v>
      </c>
      <c r="D19" s="18" t="n">
        <v>88227</v>
      </c>
      <c r="E19" s="18" t="n">
        <v>81786</v>
      </c>
      <c r="F19" s="18" t="n">
        <v>41843</v>
      </c>
      <c r="G19" s="18" t="n">
        <v>39235</v>
      </c>
      <c r="H19" s="18" t="n">
        <v>44091</v>
      </c>
      <c r="I19" s="18" t="n">
        <v>48774</v>
      </c>
      <c r="J19" s="18" t="n">
        <v>72941</v>
      </c>
      <c r="K19" s="24" t="n">
        <f aca="false">SUM(B19:J19)</f>
        <v>519941</v>
      </c>
      <c r="L19" s="18" t="n">
        <v>525000</v>
      </c>
      <c r="M19" s="18" t="n">
        <v>409728</v>
      </c>
    </row>
    <row r="20" customFormat="false" ht="15" hidden="false" customHeight="false" outlineLevel="0" collapsed="false">
      <c r="A20" s="20" t="s">
        <v>50</v>
      </c>
      <c r="B20" s="21" t="n">
        <f aca="false">SUM(B15:B19)</f>
        <v>913404</v>
      </c>
      <c r="C20" s="21" t="n">
        <f aca="false">SUM(C15:C19)</f>
        <v>1236036</v>
      </c>
      <c r="D20" s="21" t="n">
        <f aca="false">SUM(D15:D19)</f>
        <v>2053443</v>
      </c>
      <c r="E20" s="21" t="n">
        <f aca="false">SUM(E15:E19)</f>
        <v>1925340</v>
      </c>
      <c r="F20" s="21" t="n">
        <f aca="false">SUM(F15:F19)</f>
        <v>1142499</v>
      </c>
      <c r="G20" s="21" t="n">
        <f aca="false">SUM(G15:G19)</f>
        <v>1086308</v>
      </c>
      <c r="H20" s="21" t="n">
        <f aca="false">SUM(H15:H19)</f>
        <v>1285730</v>
      </c>
      <c r="I20" s="21" t="n">
        <f aca="false">SUM(I15:I19)</f>
        <v>1376175</v>
      </c>
      <c r="J20" s="21" t="n">
        <f aca="false">SUM(J15:J19)</f>
        <v>1875360</v>
      </c>
      <c r="K20" s="25" t="n">
        <f aca="false">SUM(B20:J20)</f>
        <v>12894295</v>
      </c>
      <c r="L20" s="25" t="n">
        <f aca="false">SUM(L15:L19)</f>
        <v>12548370</v>
      </c>
      <c r="M20" s="25" t="n">
        <f aca="false">SUM(M15:M19)</f>
        <v>7247251</v>
      </c>
    </row>
    <row r="21" customFormat="false" ht="15" hidden="false" customHeight="false" outlineLevel="0" collapsed="false">
      <c r="A21" s="20" t="s">
        <v>51</v>
      </c>
      <c r="B21" s="21" t="n">
        <f aca="false">B12-B20</f>
        <v>741927</v>
      </c>
      <c r="C21" s="21" t="n">
        <f aca="false">C12-C20</f>
        <v>1208623</v>
      </c>
      <c r="D21" s="21" t="n">
        <f aca="false">D12-D20</f>
        <v>1958060</v>
      </c>
      <c r="E21" s="21" t="n">
        <f aca="false">E12-E20</f>
        <v>1785128</v>
      </c>
      <c r="F21" s="21" t="n">
        <f aca="false">F12-F20</f>
        <v>697194</v>
      </c>
      <c r="G21" s="21" t="n">
        <f aca="false">G12-G20</f>
        <v>618039</v>
      </c>
      <c r="H21" s="21" t="n">
        <f aca="false">H12-H20</f>
        <v>769993</v>
      </c>
      <c r="I21" s="21" t="n">
        <f aca="false">I12-I20</f>
        <v>897689</v>
      </c>
      <c r="J21" s="21" t="n">
        <f aca="false">J12-J20</f>
        <v>1600058</v>
      </c>
      <c r="K21" s="25" t="n">
        <f aca="false">K12-K20</f>
        <v>10276711</v>
      </c>
      <c r="L21" s="25" t="n">
        <f aca="false">L12-L20</f>
        <v>11157024</v>
      </c>
      <c r="M21" s="25" t="n">
        <f aca="false">M12-M20</f>
        <v>6410361</v>
      </c>
    </row>
    <row r="23" customFormat="false" ht="15" hidden="false" customHeight="false" outlineLevel="0" collapsed="false">
      <c r="A23" s="16" t="s">
        <v>53</v>
      </c>
      <c r="B23" s="17"/>
      <c r="C23" s="17"/>
      <c r="D23" s="17"/>
      <c r="E23" s="17"/>
      <c r="F23" s="17"/>
      <c r="G23" s="17"/>
      <c r="H23" s="17"/>
      <c r="I23" s="17"/>
      <c r="J23" s="17"/>
      <c r="K23" s="17"/>
      <c r="L23" s="17"/>
      <c r="M23" s="17"/>
    </row>
    <row r="24" customFormat="false" ht="15" hidden="false" customHeight="false" outlineLevel="0" collapsed="false">
      <c r="A24" s="9" t="s">
        <v>54</v>
      </c>
      <c r="B24" s="18" t="n">
        <v>82767</v>
      </c>
      <c r="C24" s="18" t="n">
        <v>122233</v>
      </c>
      <c r="D24" s="18" t="n">
        <v>200575</v>
      </c>
      <c r="E24" s="18" t="n">
        <v>185524</v>
      </c>
      <c r="F24" s="18" t="n">
        <v>91985</v>
      </c>
      <c r="G24" s="18" t="n">
        <v>85217</v>
      </c>
      <c r="H24" s="18" t="n">
        <v>102787</v>
      </c>
      <c r="I24" s="18" t="n">
        <v>113693</v>
      </c>
      <c r="J24" s="18" t="n">
        <v>173771</v>
      </c>
      <c r="K24" s="24" t="n">
        <f aca="false">SUM(B24:J24)</f>
        <v>1158552</v>
      </c>
      <c r="L24" s="18" t="n">
        <v>1185269</v>
      </c>
      <c r="M24" s="18" t="n">
        <v>682880</v>
      </c>
    </row>
    <row r="25" customFormat="false" ht="15" hidden="false" customHeight="false" outlineLevel="0" collapsed="false">
      <c r="A25" s="9" t="s">
        <v>55</v>
      </c>
      <c r="B25" s="18" t="n">
        <v>66213</v>
      </c>
      <c r="C25" s="18" t="n">
        <v>97786</v>
      </c>
      <c r="D25" s="18" t="n">
        <v>168339</v>
      </c>
      <c r="E25" s="18" t="n">
        <v>155363</v>
      </c>
      <c r="F25" s="18" t="n">
        <v>76753</v>
      </c>
      <c r="G25" s="18" t="n">
        <v>71092</v>
      </c>
      <c r="H25" s="18" t="n">
        <v>85244</v>
      </c>
      <c r="I25" s="18" t="n">
        <v>94278</v>
      </c>
      <c r="J25" s="18" t="n">
        <v>144439</v>
      </c>
      <c r="K25" s="24" t="n">
        <f aca="false">SUM(B25:J25)</f>
        <v>959507</v>
      </c>
      <c r="L25" s="18" t="n">
        <v>984387</v>
      </c>
      <c r="M25" s="18" t="n">
        <v>546304</v>
      </c>
    </row>
    <row r="26" customFormat="false" ht="15" hidden="false" customHeight="false" outlineLevel="0" collapsed="false">
      <c r="A26" s="9" t="s">
        <v>56</v>
      </c>
      <c r="B26" s="18" t="n">
        <v>91043</v>
      </c>
      <c r="C26" s="18" t="n">
        <v>134456</v>
      </c>
      <c r="D26" s="18" t="n">
        <v>220632</v>
      </c>
      <c r="E26" s="18" t="n">
        <v>204076</v>
      </c>
      <c r="F26" s="18" t="n">
        <v>101183</v>
      </c>
      <c r="G26" s="18" t="n">
        <v>93739</v>
      </c>
      <c r="H26" s="18" t="n">
        <v>113064</v>
      </c>
      <c r="I26" s="18" t="n">
        <v>125063</v>
      </c>
      <c r="J26" s="18" t="n">
        <v>191147</v>
      </c>
      <c r="K26" s="24" t="n">
        <f aca="false">SUM(B26:J26)</f>
        <v>1274403</v>
      </c>
      <c r="L26" s="18" t="n">
        <v>1303798</v>
      </c>
      <c r="M26" s="18" t="n">
        <v>751171</v>
      </c>
    </row>
    <row r="27" customFormat="false" ht="15" hidden="false" customHeight="false" outlineLevel="0" collapsed="false">
      <c r="A27" s="9" t="s">
        <v>57</v>
      </c>
      <c r="B27" s="18" t="n">
        <v>19864</v>
      </c>
      <c r="C27" s="18" t="n">
        <v>29336</v>
      </c>
      <c r="D27" s="18" t="n">
        <v>48138</v>
      </c>
      <c r="E27" s="18" t="n">
        <v>44526</v>
      </c>
      <c r="F27" s="18" t="n">
        <v>22076</v>
      </c>
      <c r="G27" s="18" t="n">
        <v>20451</v>
      </c>
      <c r="H27" s="18" t="n">
        <v>24669</v>
      </c>
      <c r="I27" s="18" t="n">
        <v>27287</v>
      </c>
      <c r="J27" s="18" t="n">
        <v>41706</v>
      </c>
      <c r="K27" s="24" t="n">
        <f aca="false">SUM(B27:J27)</f>
        <v>278053</v>
      </c>
      <c r="L27" s="18" t="n">
        <v>284464</v>
      </c>
      <c r="M27" s="18" t="n">
        <v>163891</v>
      </c>
    </row>
    <row r="28" customFormat="false" ht="15" hidden="false" customHeight="false" outlineLevel="0" collapsed="false">
      <c r="A28" s="9" t="s">
        <v>58</v>
      </c>
      <c r="B28" s="18" t="n">
        <v>13242</v>
      </c>
      <c r="C28" s="18" t="n">
        <v>19557</v>
      </c>
      <c r="D28" s="18" t="n">
        <v>32092</v>
      </c>
      <c r="E28" s="18" t="n">
        <v>29684</v>
      </c>
      <c r="F28" s="18" t="n">
        <v>14718</v>
      </c>
      <c r="G28" s="18" t="n">
        <v>13635</v>
      </c>
      <c r="H28" s="18" t="n">
        <v>16446</v>
      </c>
      <c r="I28" s="18" t="n">
        <v>18191</v>
      </c>
      <c r="J28" s="18" t="n">
        <v>27804</v>
      </c>
      <c r="K28" s="24" t="n">
        <f aca="false">SUM(B28:J28)</f>
        <v>185369</v>
      </c>
      <c r="L28" s="18" t="n">
        <v>189643</v>
      </c>
      <c r="M28" s="18" t="n">
        <v>109260</v>
      </c>
    </row>
    <row r="29" customFormat="false" ht="15" hidden="false" customHeight="false" outlineLevel="0" collapsed="false">
      <c r="A29" s="9" t="s">
        <v>59</v>
      </c>
      <c r="B29" s="18" t="n">
        <v>16554</v>
      </c>
      <c r="C29" s="18" t="n">
        <v>24446</v>
      </c>
      <c r="D29" s="18" t="n">
        <v>40114</v>
      </c>
      <c r="E29" s="18" t="n">
        <v>37105</v>
      </c>
      <c r="F29" s="18" t="n">
        <v>18398</v>
      </c>
      <c r="G29" s="18" t="n">
        <v>17043</v>
      </c>
      <c r="H29" s="18" t="n">
        <v>20558</v>
      </c>
      <c r="I29" s="18" t="n">
        <v>22739</v>
      </c>
      <c r="J29" s="18" t="n">
        <v>34754</v>
      </c>
      <c r="K29" s="24" t="n">
        <f aca="false">SUM(B29:J29)</f>
        <v>231711</v>
      </c>
      <c r="L29" s="18" t="n">
        <v>237052</v>
      </c>
      <c r="M29" s="18" t="n">
        <v>136575</v>
      </c>
    </row>
    <row r="30" customFormat="false" ht="15" hidden="false" customHeight="false" outlineLevel="0" collapsed="false">
      <c r="A30" s="9" t="s">
        <v>60</v>
      </c>
      <c r="B30" s="18" t="n">
        <v>24830</v>
      </c>
      <c r="C30" s="18" t="n">
        <v>36670</v>
      </c>
      <c r="D30" s="18" t="n">
        <v>60173</v>
      </c>
      <c r="E30" s="18" t="n">
        <v>55657</v>
      </c>
      <c r="F30" s="18" t="n">
        <v>27596</v>
      </c>
      <c r="G30" s="18" t="n">
        <v>25565</v>
      </c>
      <c r="H30" s="18" t="n">
        <v>30837</v>
      </c>
      <c r="I30" s="18" t="n">
        <v>34109</v>
      </c>
      <c r="J30" s="18" t="n">
        <v>52131</v>
      </c>
      <c r="K30" s="24" t="n">
        <f aca="false">SUM(B30:J30)</f>
        <v>347568</v>
      </c>
      <c r="L30" s="18" t="n">
        <v>355580</v>
      </c>
      <c r="M30" s="18" t="n">
        <v>204865</v>
      </c>
    </row>
    <row r="31" customFormat="false" ht="15" hidden="false" customHeight="false" outlineLevel="0" collapsed="false">
      <c r="A31" s="20" t="s">
        <v>61</v>
      </c>
      <c r="B31" s="21" t="n">
        <f aca="false">SUM(B24:B30)</f>
        <v>314513</v>
      </c>
      <c r="C31" s="21" t="n">
        <f aca="false">SUM(C24:C30)</f>
        <v>464484</v>
      </c>
      <c r="D31" s="21" t="n">
        <f aca="false">SUM(D24:D30)</f>
        <v>770063</v>
      </c>
      <c r="E31" s="21" t="n">
        <f aca="false">SUM(E24:E30)</f>
        <v>711935</v>
      </c>
      <c r="F31" s="21" t="n">
        <f aca="false">SUM(F24:F30)</f>
        <v>352709</v>
      </c>
      <c r="G31" s="21" t="n">
        <f aca="false">SUM(G24:G30)</f>
        <v>326742</v>
      </c>
      <c r="H31" s="21" t="n">
        <f aca="false">SUM(H24:H30)</f>
        <v>393605</v>
      </c>
      <c r="I31" s="21" t="n">
        <f aca="false">SUM(I24:I30)</f>
        <v>435360</v>
      </c>
      <c r="J31" s="21" t="n">
        <f aca="false">SUM(J24:J30)</f>
        <v>665752</v>
      </c>
      <c r="K31" s="25" t="n">
        <f aca="false">SUM(B31:J31)</f>
        <v>4435163</v>
      </c>
      <c r="L31" s="25" t="n">
        <f aca="false">SUM(L24:L30)</f>
        <v>4540193</v>
      </c>
      <c r="M31" s="25" t="n">
        <f aca="false">SUM(M24:M30)</f>
        <v>2594946</v>
      </c>
    </row>
    <row r="33" customFormat="false" ht="15" hidden="false" customHeight="false" outlineLevel="0" collapsed="false">
      <c r="A33" s="16" t="s">
        <v>33</v>
      </c>
      <c r="B33" s="17"/>
      <c r="C33" s="17"/>
      <c r="D33" s="17"/>
      <c r="E33" s="17"/>
      <c r="F33" s="17"/>
      <c r="G33" s="17"/>
      <c r="H33" s="17"/>
      <c r="I33" s="17"/>
      <c r="J33" s="17"/>
      <c r="K33" s="17"/>
      <c r="L33" s="17"/>
      <c r="M33" s="17"/>
    </row>
    <row r="34" customFormat="false" ht="15" hidden="false" customHeight="false" outlineLevel="0" collapsed="false">
      <c r="A34" s="9" t="s">
        <v>62</v>
      </c>
      <c r="B34" s="18" t="n">
        <v>110000</v>
      </c>
      <c r="C34" s="18" t="n">
        <v>110000</v>
      </c>
      <c r="D34" s="18" t="n">
        <v>110000</v>
      </c>
      <c r="E34" s="18" t="n">
        <v>110000</v>
      </c>
      <c r="F34" s="18" t="n">
        <v>110000</v>
      </c>
      <c r="G34" s="18" t="n">
        <v>110000</v>
      </c>
      <c r="H34" s="18" t="n">
        <v>110000</v>
      </c>
      <c r="I34" s="18" t="n">
        <v>110000</v>
      </c>
      <c r="J34" s="18" t="n">
        <v>110000</v>
      </c>
      <c r="K34" s="24" t="n">
        <f aca="false">SUM(B34:J34)</f>
        <v>990000</v>
      </c>
      <c r="L34" s="18" t="n">
        <v>990000</v>
      </c>
      <c r="M34" s="18" t="n">
        <v>405000</v>
      </c>
    </row>
    <row r="35" customFormat="false" ht="15" hidden="false" customHeight="false" outlineLevel="0" collapsed="false">
      <c r="A35" s="9" t="s">
        <v>63</v>
      </c>
      <c r="B35" s="18" t="n">
        <v>45000</v>
      </c>
      <c r="C35" s="18" t="n">
        <v>45000</v>
      </c>
      <c r="D35" s="18" t="n">
        <v>45000</v>
      </c>
      <c r="E35" s="18" t="n">
        <v>45000</v>
      </c>
      <c r="F35" s="18" t="n">
        <v>45000</v>
      </c>
      <c r="G35" s="18" t="n">
        <v>45000</v>
      </c>
      <c r="H35" s="18" t="n">
        <v>45000</v>
      </c>
      <c r="I35" s="18" t="n">
        <v>45000</v>
      </c>
      <c r="J35" s="18" t="n">
        <v>45000</v>
      </c>
      <c r="K35" s="24" t="n">
        <f aca="false">SUM(B35:J35)</f>
        <v>405000</v>
      </c>
      <c r="L35" s="18" t="n">
        <v>0</v>
      </c>
      <c r="M35" s="18" t="n">
        <v>0</v>
      </c>
    </row>
    <row r="36" customFormat="false" ht="15" hidden="false" customHeight="false" outlineLevel="0" collapsed="false">
      <c r="A36" s="9" t="s">
        <v>64</v>
      </c>
      <c r="B36" s="18" t="n">
        <v>0</v>
      </c>
      <c r="C36" s="18" t="n">
        <v>0</v>
      </c>
      <c r="D36" s="18" t="n">
        <v>85000</v>
      </c>
      <c r="E36" s="18" t="n">
        <v>0</v>
      </c>
      <c r="F36" s="18" t="n">
        <v>0</v>
      </c>
      <c r="G36" s="18" t="n">
        <v>0</v>
      </c>
      <c r="H36" s="18" t="n">
        <v>70000</v>
      </c>
      <c r="I36" s="18" t="n">
        <v>0</v>
      </c>
      <c r="J36" s="18" t="n">
        <v>60000</v>
      </c>
      <c r="K36" s="24" t="n">
        <f aca="false">SUM(B36:J36)</f>
        <v>215000</v>
      </c>
      <c r="L36" s="18" t="n">
        <v>0</v>
      </c>
      <c r="M36" s="18" t="n">
        <v>0</v>
      </c>
    </row>
    <row r="37" customFormat="false" ht="15" hidden="false" customHeight="false" outlineLevel="0" collapsed="false">
      <c r="A37" s="9" t="s">
        <v>65</v>
      </c>
      <c r="B37" s="18" t="n">
        <v>35000</v>
      </c>
      <c r="C37" s="18" t="n">
        <v>35000</v>
      </c>
      <c r="D37" s="18" t="n">
        <v>35000</v>
      </c>
      <c r="E37" s="18" t="n">
        <v>35000</v>
      </c>
      <c r="F37" s="18" t="n">
        <v>35000</v>
      </c>
      <c r="G37" s="18" t="n">
        <v>35000</v>
      </c>
      <c r="H37" s="18" t="n">
        <v>35000</v>
      </c>
      <c r="I37" s="18" t="n">
        <v>35000</v>
      </c>
      <c r="J37" s="18" t="n">
        <v>35000</v>
      </c>
      <c r="K37" s="24" t="n">
        <f aca="false">SUM(B37:J37)</f>
        <v>315000</v>
      </c>
      <c r="L37" s="18" t="n">
        <v>315000</v>
      </c>
      <c r="M37" s="18" t="n">
        <v>315000</v>
      </c>
    </row>
    <row r="38" customFormat="false" ht="15" hidden="false" customHeight="false" outlineLevel="0" collapsed="false">
      <c r="A38" s="20" t="s">
        <v>66</v>
      </c>
      <c r="B38" s="21" t="n">
        <f aca="false">SUM(B34:B37)</f>
        <v>190000</v>
      </c>
      <c r="C38" s="21" t="n">
        <f aca="false">SUM(C34:C37)</f>
        <v>190000</v>
      </c>
      <c r="D38" s="21" t="n">
        <f aca="false">SUM(D34:D37)</f>
        <v>275000</v>
      </c>
      <c r="E38" s="21" t="n">
        <f aca="false">SUM(E34:E37)</f>
        <v>190000</v>
      </c>
      <c r="F38" s="21" t="n">
        <f aca="false">SUM(F34:F37)</f>
        <v>190000</v>
      </c>
      <c r="G38" s="21" t="n">
        <f aca="false">SUM(G34:G37)</f>
        <v>190000</v>
      </c>
      <c r="H38" s="21" t="n">
        <f aca="false">SUM(H34:H37)</f>
        <v>260000</v>
      </c>
      <c r="I38" s="21" t="n">
        <f aca="false">SUM(I34:I37)</f>
        <v>190000</v>
      </c>
      <c r="J38" s="21" t="n">
        <f aca="false">SUM(J34:J37)</f>
        <v>250000</v>
      </c>
      <c r="K38" s="25" t="n">
        <f aca="false">SUM(B38:J38)</f>
        <v>1925000</v>
      </c>
      <c r="L38" s="25" t="n">
        <f aca="false">SUM(L34:L37)</f>
        <v>1305000</v>
      </c>
      <c r="M38" s="25" t="n">
        <f aca="false">SUM(M34:M37)</f>
        <v>720000</v>
      </c>
    </row>
    <row r="40" customFormat="false" ht="15" hidden="false" customHeight="false" outlineLevel="0" collapsed="false">
      <c r="A40" s="20" t="s">
        <v>18</v>
      </c>
      <c r="B40" s="21" t="n">
        <f aca="false">B21-B31-B38</f>
        <v>237414</v>
      </c>
      <c r="C40" s="21" t="n">
        <f aca="false">C21-C31-C38</f>
        <v>554139</v>
      </c>
      <c r="D40" s="21" t="n">
        <f aca="false">D21-D31-D38</f>
        <v>912997</v>
      </c>
      <c r="E40" s="21" t="n">
        <f aca="false">E21-E31-E38</f>
        <v>883193</v>
      </c>
      <c r="F40" s="21" t="n">
        <f aca="false">F21-F31-F38</f>
        <v>154485</v>
      </c>
      <c r="G40" s="21" t="n">
        <f aca="false">G21-G31-G38</f>
        <v>101297</v>
      </c>
      <c r="H40" s="21" t="n">
        <f aca="false">H21-H31-H38</f>
        <v>116388</v>
      </c>
      <c r="I40" s="21" t="n">
        <f aca="false">I21-I31-I38</f>
        <v>272329</v>
      </c>
      <c r="J40" s="21" t="n">
        <f aca="false">J21-J31-J38</f>
        <v>684306</v>
      </c>
      <c r="K40" s="25" t="n">
        <f aca="false">K21-K31-K38</f>
        <v>3916548</v>
      </c>
      <c r="L40" s="25" t="n">
        <f aca="false">L21-L31-L38</f>
        <v>5311831</v>
      </c>
      <c r="M40" s="25" t="n">
        <f aca="false">M21-M31-M38</f>
        <v>3095415</v>
      </c>
    </row>
    <row r="41" customFormat="false" ht="15" hidden="false" customHeight="false" outlineLevel="0" collapsed="false">
      <c r="A41" s="9" t="s">
        <v>19</v>
      </c>
      <c r="B41" s="12" t="n">
        <f aca="false">IF(B12=0,0,B40/B12)</f>
        <v>0.143423883199191</v>
      </c>
      <c r="C41" s="12" t="n">
        <f aca="false">IF(C12=0,0,C40/C12)</f>
        <v>0.226673331536218</v>
      </c>
      <c r="D41" s="12" t="n">
        <f aca="false">IF(D12=0,0,D40/D12)</f>
        <v>0.227594744413752</v>
      </c>
      <c r="E41" s="12" t="n">
        <f aca="false">IF(E12=0,0,E40/E12)</f>
        <v>0.238027386302752</v>
      </c>
      <c r="F41" s="12" t="n">
        <f aca="false">IF(F12=0,0,F40/F12)</f>
        <v>0.0839732498846275</v>
      </c>
      <c r="G41" s="12" t="n">
        <f aca="false">IF(G12=0,0,G40/G12)</f>
        <v>0.0594344930932492</v>
      </c>
      <c r="H41" s="12" t="n">
        <f aca="false">IF(H12=0,0,H40/H12)</f>
        <v>0.0566165772334113</v>
      </c>
      <c r="I41" s="12" t="n">
        <f aca="false">IF(I12=0,0,I40/I12)</f>
        <v>0.119764858408418</v>
      </c>
      <c r="J41" s="12" t="n">
        <f aca="false">IF(J12=0,0,J40/J12)</f>
        <v>0.196898905397854</v>
      </c>
      <c r="K41" s="11" t="n">
        <f aca="false">IF(K12=0,0,K40/K12)</f>
        <v>0.169027965380528</v>
      </c>
      <c r="L41" s="11" t="n">
        <f aca="false">IF(L12=0,0,L40/L12)</f>
        <v>0.224076891529413</v>
      </c>
      <c r="M41" s="11" t="n">
        <f aca="false">IF(M12=0,0,M40/M12)</f>
        <v>0.226643940390165</v>
      </c>
    </row>
  </sheetData>
  <mergeCells count="3">
    <mergeCell ref="A1:N1"/>
    <mergeCell ref="A2:N2"/>
    <mergeCell ref="A3:N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22"/>
    <col collapsed="false" customWidth="true" hidden="false" outlineLevel="0" max="3" min="3" style="0" width="30"/>
    <col collapsed="false" customWidth="true" hidden="false" outlineLevel="0" max="7" min="4" style="0" width="18"/>
  </cols>
  <sheetData>
    <row r="1" customFormat="false" ht="16.15" hidden="false" customHeight="false" outlineLevel="0" collapsed="false">
      <c r="A1" s="5" t="s">
        <v>0</v>
      </c>
      <c r="B1" s="5"/>
      <c r="C1" s="5"/>
      <c r="D1" s="5"/>
      <c r="E1" s="5"/>
      <c r="F1" s="5"/>
      <c r="G1" s="5"/>
    </row>
    <row r="2" customFormat="false" ht="15" hidden="false" customHeight="false" outlineLevel="0" collapsed="false">
      <c r="A2" s="6" t="s">
        <v>80</v>
      </c>
      <c r="B2" s="6"/>
      <c r="C2" s="6"/>
      <c r="D2" s="6"/>
      <c r="E2" s="6"/>
      <c r="F2" s="6"/>
      <c r="G2" s="6"/>
    </row>
    <row r="3" customFormat="false" ht="15" hidden="false" customHeight="false" outlineLevel="0" collapsed="false">
      <c r="A3" s="7" t="s">
        <v>28</v>
      </c>
      <c r="B3" s="7"/>
      <c r="C3" s="7"/>
      <c r="D3" s="7"/>
      <c r="E3" s="7"/>
      <c r="F3" s="7"/>
      <c r="G3" s="7"/>
    </row>
    <row r="5" customFormat="false" ht="15" hidden="false" customHeight="false" outlineLevel="0" collapsed="false">
      <c r="A5" s="8" t="s">
        <v>81</v>
      </c>
      <c r="B5" s="8" t="s">
        <v>82</v>
      </c>
      <c r="C5" s="8" t="s">
        <v>83</v>
      </c>
    </row>
    <row r="6" customFormat="false" ht="15" hidden="false" customHeight="false" outlineLevel="0" collapsed="false">
      <c r="A6" s="9" t="s">
        <v>84</v>
      </c>
      <c r="B6" s="10" t="n">
        <f aca="false">'Monthly Trend'!K40</f>
        <v>3916548</v>
      </c>
      <c r="C6" s="22" t="s">
        <v>85</v>
      </c>
    </row>
    <row r="7" customFormat="false" ht="15" hidden="false" customHeight="false" outlineLevel="0" collapsed="false">
      <c r="A7" s="9" t="s">
        <v>86</v>
      </c>
      <c r="B7" s="18" t="n">
        <v>1264000</v>
      </c>
      <c r="C7" s="22" t="s">
        <v>87</v>
      </c>
    </row>
    <row r="8" customFormat="false" ht="15" hidden="false" customHeight="false" outlineLevel="0" collapsed="false">
      <c r="A8" s="20" t="s">
        <v>88</v>
      </c>
      <c r="B8" s="21" t="n">
        <f aca="false">B6+B7</f>
        <v>5180548</v>
      </c>
      <c r="C8" s="26"/>
    </row>
    <row r="9" customFormat="false" ht="15" hidden="false" customHeight="false" outlineLevel="0" collapsed="false">
      <c r="A9" s="9"/>
      <c r="C9" s="22"/>
    </row>
    <row r="10" customFormat="false" ht="15" hidden="false" customHeight="false" outlineLevel="0" collapsed="false">
      <c r="A10" s="9" t="s">
        <v>89</v>
      </c>
      <c r="B10" s="18" t="n">
        <v>83000</v>
      </c>
      <c r="C10" s="22" t="s">
        <v>90</v>
      </c>
    </row>
    <row r="11" customFormat="false" ht="15" hidden="false" customHeight="false" outlineLevel="0" collapsed="false">
      <c r="A11" s="9" t="s">
        <v>91</v>
      </c>
      <c r="B11" s="18" t="n">
        <v>519000</v>
      </c>
      <c r="C11" s="22" t="s">
        <v>90</v>
      </c>
    </row>
    <row r="12" customFormat="false" ht="15" hidden="false" customHeight="false" outlineLevel="0" collapsed="false">
      <c r="A12" s="9" t="s">
        <v>92</v>
      </c>
      <c r="B12" s="18" t="n">
        <v>932000</v>
      </c>
      <c r="C12" s="22" t="s">
        <v>93</v>
      </c>
    </row>
    <row r="13" customFormat="false" ht="15" hidden="false" customHeight="false" outlineLevel="0" collapsed="false">
      <c r="A13" s="9" t="s">
        <v>94</v>
      </c>
      <c r="B13" s="10" t="n">
        <f aca="false">E24</f>
        <v>291666.666666667</v>
      </c>
      <c r="C13" s="22" t="s">
        <v>95</v>
      </c>
    </row>
    <row r="14" customFormat="false" ht="15" hidden="false" customHeight="false" outlineLevel="0" collapsed="false">
      <c r="A14" s="9" t="s">
        <v>96</v>
      </c>
      <c r="B14" s="10" t="n">
        <f aca="false">'Monthly Trend'!K35</f>
        <v>405000</v>
      </c>
      <c r="C14" s="22" t="s">
        <v>97</v>
      </c>
    </row>
    <row r="15" customFormat="false" ht="15" hidden="false" customHeight="false" outlineLevel="0" collapsed="false">
      <c r="A15" s="9" t="s">
        <v>98</v>
      </c>
      <c r="B15" s="10" t="n">
        <f aca="false">'Monthly Trend'!K36</f>
        <v>215000</v>
      </c>
      <c r="C15" s="22" t="s">
        <v>99</v>
      </c>
    </row>
    <row r="16" customFormat="false" ht="15" hidden="false" customHeight="false" outlineLevel="0" collapsed="false">
      <c r="A16" s="9" t="s">
        <v>100</v>
      </c>
      <c r="B16" s="10" t="n">
        <f aca="false">'Monthly Trend'!K37</f>
        <v>315000</v>
      </c>
      <c r="C16" s="22" t="s">
        <v>101</v>
      </c>
    </row>
    <row r="17" customFormat="false" ht="15" hidden="false" customHeight="false" outlineLevel="0" collapsed="false">
      <c r="A17" s="20" t="s">
        <v>102</v>
      </c>
      <c r="B17" s="21" t="n">
        <f aca="false">SUM(B8:B16)</f>
        <v>7941214.66666667</v>
      </c>
      <c r="C17" s="26"/>
    </row>
    <row r="19" customFormat="false" ht="15" hidden="false" customHeight="false" outlineLevel="0" collapsed="false">
      <c r="A19" s="27" t="s">
        <v>103</v>
      </c>
    </row>
    <row r="20" customFormat="false" ht="30" hidden="false" customHeight="true" outlineLevel="0" collapsed="false">
      <c r="A20" s="8" t="s">
        <v>104</v>
      </c>
      <c r="B20" s="8" t="s">
        <v>105</v>
      </c>
      <c r="C20" s="8" t="s">
        <v>106</v>
      </c>
      <c r="D20" s="8" t="s">
        <v>107</v>
      </c>
      <c r="E20" s="8" t="s">
        <v>108</v>
      </c>
      <c r="F20" s="8" t="s">
        <v>109</v>
      </c>
      <c r="G20" s="8" t="s">
        <v>110</v>
      </c>
    </row>
    <row r="21" customFormat="false" ht="15" hidden="false" customHeight="false" outlineLevel="0" collapsed="false">
      <c r="A21" s="9" t="s">
        <v>111</v>
      </c>
      <c r="B21" s="9" t="s">
        <v>31</v>
      </c>
      <c r="C21" s="18" t="n">
        <v>560000</v>
      </c>
      <c r="D21" s="18" t="n">
        <v>300000</v>
      </c>
      <c r="E21" s="10" t="n">
        <f aca="false">(C21-D21)*G21/12</f>
        <v>151666.666666667</v>
      </c>
      <c r="F21" s="9" t="s">
        <v>112</v>
      </c>
      <c r="G21" s="9" t="n">
        <v>7</v>
      </c>
    </row>
    <row r="22" customFormat="false" ht="15" hidden="false" customHeight="false" outlineLevel="0" collapsed="false">
      <c r="A22" s="9" t="s">
        <v>113</v>
      </c>
      <c r="B22" s="9" t="s">
        <v>31</v>
      </c>
      <c r="C22" s="18" t="n">
        <v>540000</v>
      </c>
      <c r="D22" s="18" t="n">
        <v>300000</v>
      </c>
      <c r="E22" s="10" t="n">
        <f aca="false">(C22-D22)*G22/12</f>
        <v>140000</v>
      </c>
      <c r="F22" s="9" t="s">
        <v>112</v>
      </c>
      <c r="G22" s="9" t="n">
        <v>7</v>
      </c>
    </row>
    <row r="23" customFormat="false" ht="15" hidden="false" customHeight="false" outlineLevel="0" collapsed="false">
      <c r="A23" s="22" t="s">
        <v>114</v>
      </c>
    </row>
    <row r="24" customFormat="false" ht="15" hidden="false" customHeight="false" outlineLevel="0" collapsed="false">
      <c r="D24" s="27" t="s">
        <v>115</v>
      </c>
      <c r="E24" s="19" t="n">
        <f aca="false">SUM(E21:E22)</f>
        <v>291666.666666667</v>
      </c>
    </row>
  </sheetData>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5"/>
    <col collapsed="false" customWidth="true" hidden="false" outlineLevel="0" max="10" min="3" style="0" width="14"/>
  </cols>
  <sheetData>
    <row r="1" customFormat="false" ht="16.15" hidden="false" customHeight="false" outlineLevel="0" collapsed="false">
      <c r="A1" s="5" t="s">
        <v>0</v>
      </c>
      <c r="B1" s="5"/>
      <c r="C1" s="5"/>
      <c r="D1" s="5"/>
      <c r="E1" s="5"/>
      <c r="F1" s="5"/>
      <c r="G1" s="5"/>
      <c r="H1" s="5"/>
      <c r="I1" s="5"/>
      <c r="J1" s="5"/>
    </row>
    <row r="2" customFormat="false" ht="15" hidden="false" customHeight="false" outlineLevel="0" collapsed="false">
      <c r="A2" s="6" t="s">
        <v>116</v>
      </c>
      <c r="B2" s="6"/>
      <c r="C2" s="6"/>
      <c r="D2" s="6"/>
      <c r="E2" s="6"/>
      <c r="F2" s="6"/>
      <c r="G2" s="6"/>
      <c r="H2" s="6"/>
      <c r="I2" s="6"/>
      <c r="J2" s="6"/>
    </row>
    <row r="3" customFormat="false" ht="15" hidden="false" customHeight="false" outlineLevel="0" collapsed="false">
      <c r="A3" s="7" t="s">
        <v>117</v>
      </c>
      <c r="B3" s="7"/>
      <c r="C3" s="7"/>
      <c r="D3" s="7"/>
      <c r="E3" s="7"/>
      <c r="F3" s="7"/>
      <c r="G3" s="7"/>
      <c r="H3" s="7"/>
      <c r="I3" s="7"/>
      <c r="J3" s="7"/>
    </row>
    <row r="5" customFormat="false" ht="30" hidden="false" customHeight="true" outlineLevel="0" collapsed="false">
      <c r="A5" s="8" t="s">
        <v>105</v>
      </c>
      <c r="B5" s="8" t="s">
        <v>118</v>
      </c>
      <c r="C5" s="8" t="s">
        <v>119</v>
      </c>
      <c r="D5" s="8" t="s">
        <v>120</v>
      </c>
      <c r="E5" s="8" t="s">
        <v>121</v>
      </c>
      <c r="F5" s="8" t="s">
        <v>122</v>
      </c>
      <c r="G5" s="8" t="s">
        <v>123</v>
      </c>
      <c r="H5" s="8" t="s">
        <v>124</v>
      </c>
      <c r="I5" s="8" t="s">
        <v>125</v>
      </c>
      <c r="J5" s="8" t="s">
        <v>126</v>
      </c>
    </row>
    <row r="6" customFormat="false" ht="15" hidden="false" customHeight="false" outlineLevel="0" collapsed="false">
      <c r="A6" s="9" t="s">
        <v>29</v>
      </c>
      <c r="B6" s="9" t="s">
        <v>104</v>
      </c>
      <c r="C6" s="14" t="n">
        <v>6</v>
      </c>
      <c r="D6" s="28" t="n">
        <f aca="false">C6*168</f>
        <v>1008</v>
      </c>
      <c r="E6" s="14" t="n">
        <v>490</v>
      </c>
      <c r="F6" s="12" t="n">
        <f aca="false">IF(D6=0,0,E6/D6)</f>
        <v>0.486111111111111</v>
      </c>
      <c r="G6" s="18" t="n">
        <v>425</v>
      </c>
      <c r="H6" s="10" t="n">
        <f aca="false">E6*G6</f>
        <v>208250</v>
      </c>
      <c r="I6" s="14" t="n">
        <v>0</v>
      </c>
      <c r="J6" s="9"/>
    </row>
    <row r="7" customFormat="false" ht="15" hidden="false" customHeight="false" outlineLevel="0" collapsed="false">
      <c r="A7" s="9" t="s">
        <v>29</v>
      </c>
      <c r="B7" s="9" t="s">
        <v>127</v>
      </c>
      <c r="C7" s="14" t="n">
        <v>18</v>
      </c>
      <c r="D7" s="28" t="n">
        <f aca="false">C7*168</f>
        <v>3024</v>
      </c>
      <c r="E7" s="14" t="n">
        <v>2032</v>
      </c>
      <c r="F7" s="12" t="n">
        <f aca="false">IF(D7=0,0,E7/D7)</f>
        <v>0.671957671957672</v>
      </c>
      <c r="G7" s="18" t="n">
        <v>285</v>
      </c>
      <c r="H7" s="10" t="n">
        <f aca="false">E7*G7</f>
        <v>579120</v>
      </c>
      <c r="I7" s="14" t="n">
        <v>1</v>
      </c>
      <c r="J7" s="9"/>
    </row>
    <row r="8" customFormat="false" ht="15" hidden="false" customHeight="false" outlineLevel="0" collapsed="false">
      <c r="A8" s="9" t="s">
        <v>29</v>
      </c>
      <c r="B8" s="9" t="s">
        <v>128</v>
      </c>
      <c r="C8" s="14" t="n">
        <v>28</v>
      </c>
      <c r="D8" s="28" t="n">
        <f aca="false">C8*168</f>
        <v>4704</v>
      </c>
      <c r="E8" s="14" t="n">
        <v>3493</v>
      </c>
      <c r="F8" s="12" t="n">
        <f aca="false">IF(D8=0,0,E8/D8)</f>
        <v>0.742559523809524</v>
      </c>
      <c r="G8" s="18" t="n">
        <v>195</v>
      </c>
      <c r="H8" s="10" t="n">
        <f aca="false">E8*G8</f>
        <v>681135</v>
      </c>
      <c r="I8" s="14" t="n">
        <v>2</v>
      </c>
      <c r="J8" s="9"/>
    </row>
    <row r="9" customFormat="false" ht="15" hidden="false" customHeight="false" outlineLevel="0" collapsed="false">
      <c r="A9" s="9" t="s">
        <v>29</v>
      </c>
      <c r="B9" s="9" t="s">
        <v>129</v>
      </c>
      <c r="C9" s="14" t="n">
        <v>34</v>
      </c>
      <c r="D9" s="28" t="n">
        <f aca="false">C9*168</f>
        <v>5712</v>
      </c>
      <c r="E9" s="14" t="n">
        <v>4343</v>
      </c>
      <c r="F9" s="12" t="n">
        <f aca="false">IF(D9=0,0,E9/D9)</f>
        <v>0.760329131652661</v>
      </c>
      <c r="G9" s="18" t="n">
        <v>145</v>
      </c>
      <c r="H9" s="10" t="n">
        <f aca="false">E9*G9</f>
        <v>629735</v>
      </c>
      <c r="I9" s="14" t="n">
        <v>4</v>
      </c>
      <c r="J9" s="9"/>
    </row>
    <row r="10" customFormat="false" ht="15" hidden="false" customHeight="false" outlineLevel="0" collapsed="false">
      <c r="A10" s="28" t="s">
        <v>29</v>
      </c>
      <c r="B10" s="28" t="s">
        <v>130</v>
      </c>
      <c r="C10" s="14" t="n">
        <v>14</v>
      </c>
      <c r="D10" s="28"/>
      <c r="E10" s="28"/>
      <c r="F10" s="28"/>
      <c r="G10" s="28"/>
      <c r="H10" s="28"/>
      <c r="I10" s="14" t="n">
        <v>2</v>
      </c>
      <c r="J10" s="28"/>
    </row>
    <row r="11" customFormat="false" ht="15" hidden="false" customHeight="false" outlineLevel="0" collapsed="false">
      <c r="A11" s="29" t="s">
        <v>131</v>
      </c>
      <c r="B11" s="30"/>
      <c r="C11" s="31" t="n">
        <f aca="false">SUM(C6:C10)</f>
        <v>100</v>
      </c>
      <c r="D11" s="31" t="n">
        <f aca="false">SUM(D6:D10)</f>
        <v>14448</v>
      </c>
      <c r="E11" s="31" t="n">
        <f aca="false">SUM(E6:E10)</f>
        <v>10358</v>
      </c>
      <c r="F11" s="32" t="n">
        <f aca="false">IF(D11=0,0,E11/D11)</f>
        <v>0.716915836101883</v>
      </c>
      <c r="G11" s="30"/>
      <c r="H11" s="33" t="n">
        <f aca="false">SUM(H6:H10)</f>
        <v>2098240</v>
      </c>
      <c r="I11" s="31" t="n">
        <f aca="false">SUM(I6:I10)</f>
        <v>9</v>
      </c>
      <c r="J11" s="30"/>
    </row>
    <row r="13" customFormat="false" ht="15" hidden="false" customHeight="false" outlineLevel="0" collapsed="false">
      <c r="A13" s="9" t="s">
        <v>30</v>
      </c>
      <c r="B13" s="9" t="s">
        <v>104</v>
      </c>
      <c r="C13" s="14" t="n">
        <v>2</v>
      </c>
      <c r="D13" s="28" t="n">
        <f aca="false">C13*168</f>
        <v>336</v>
      </c>
      <c r="E13" s="14" t="n">
        <v>141</v>
      </c>
      <c r="F13" s="12" t="n">
        <f aca="false">IF(D13=0,0,E13/D13)</f>
        <v>0.419642857142857</v>
      </c>
      <c r="G13" s="18" t="n">
        <v>425</v>
      </c>
      <c r="H13" s="10" t="n">
        <f aca="false">E13*G13</f>
        <v>59925</v>
      </c>
      <c r="I13" s="14" t="n">
        <v>1</v>
      </c>
      <c r="J13" s="9" t="s">
        <v>132</v>
      </c>
    </row>
    <row r="14" customFormat="false" ht="15" hidden="false" customHeight="false" outlineLevel="0" collapsed="false">
      <c r="A14" s="9" t="s">
        <v>30</v>
      </c>
      <c r="B14" s="9" t="s">
        <v>127</v>
      </c>
      <c r="C14" s="14" t="n">
        <v>6</v>
      </c>
      <c r="D14" s="28" t="n">
        <f aca="false">C14*168</f>
        <v>1008</v>
      </c>
      <c r="E14" s="14" t="n">
        <v>608</v>
      </c>
      <c r="F14" s="12" t="n">
        <f aca="false">IF(D14=0,0,E14/D14)</f>
        <v>0.603174603174603</v>
      </c>
      <c r="G14" s="18" t="n">
        <v>285</v>
      </c>
      <c r="H14" s="10" t="n">
        <f aca="false">E14*G14</f>
        <v>173280</v>
      </c>
      <c r="I14" s="14" t="n">
        <v>2</v>
      </c>
      <c r="J14" s="9"/>
    </row>
    <row r="15" customFormat="false" ht="15" hidden="false" customHeight="false" outlineLevel="0" collapsed="false">
      <c r="A15" s="9" t="s">
        <v>30</v>
      </c>
      <c r="B15" s="9" t="s">
        <v>128</v>
      </c>
      <c r="C15" s="14" t="n">
        <v>9</v>
      </c>
      <c r="D15" s="28" t="n">
        <f aca="false">C15*168</f>
        <v>1512</v>
      </c>
      <c r="E15" s="14" t="n">
        <v>1013</v>
      </c>
      <c r="F15" s="12" t="n">
        <f aca="false">IF(D15=0,0,E15/D15)</f>
        <v>0.669973544973545</v>
      </c>
      <c r="G15" s="18" t="n">
        <v>195</v>
      </c>
      <c r="H15" s="10" t="n">
        <f aca="false">E15*G15</f>
        <v>197535</v>
      </c>
      <c r="I15" s="14" t="n">
        <v>3</v>
      </c>
      <c r="J15" s="9"/>
    </row>
    <row r="16" customFormat="false" ht="15" hidden="false" customHeight="false" outlineLevel="0" collapsed="false">
      <c r="A16" s="9" t="s">
        <v>30</v>
      </c>
      <c r="B16" s="9" t="s">
        <v>129</v>
      </c>
      <c r="C16" s="14" t="n">
        <v>11</v>
      </c>
      <c r="D16" s="28" t="n">
        <f aca="false">C16*168</f>
        <v>1848</v>
      </c>
      <c r="E16" s="14" t="n">
        <v>1268</v>
      </c>
      <c r="F16" s="12" t="n">
        <f aca="false">IF(D16=0,0,E16/D16)</f>
        <v>0.686147186147186</v>
      </c>
      <c r="G16" s="18" t="n">
        <v>145</v>
      </c>
      <c r="H16" s="10" t="n">
        <f aca="false">E16*G16</f>
        <v>183860</v>
      </c>
      <c r="I16" s="14" t="n">
        <v>4</v>
      </c>
      <c r="J16" s="9"/>
    </row>
    <row r="17" customFormat="false" ht="15" hidden="false" customHeight="false" outlineLevel="0" collapsed="false">
      <c r="A17" s="28" t="s">
        <v>30</v>
      </c>
      <c r="B17" s="28" t="s">
        <v>130</v>
      </c>
      <c r="C17" s="14" t="n">
        <v>5</v>
      </c>
      <c r="D17" s="28"/>
      <c r="E17" s="28"/>
      <c r="F17" s="28"/>
      <c r="G17" s="28"/>
      <c r="H17" s="28"/>
      <c r="I17" s="14" t="n">
        <v>2</v>
      </c>
      <c r="J17" s="28"/>
    </row>
    <row r="18" customFormat="false" ht="15" hidden="false" customHeight="false" outlineLevel="0" collapsed="false">
      <c r="A18" s="29" t="s">
        <v>133</v>
      </c>
      <c r="B18" s="30"/>
      <c r="C18" s="31" t="n">
        <f aca="false">SUM(C13:C17)</f>
        <v>33</v>
      </c>
      <c r="D18" s="31" t="n">
        <f aca="false">SUM(D13:D17)</f>
        <v>4704</v>
      </c>
      <c r="E18" s="31" t="n">
        <f aca="false">SUM(E13:E17)</f>
        <v>3030</v>
      </c>
      <c r="F18" s="32" t="n">
        <f aca="false">IF(D18=0,0,E18/D18)</f>
        <v>0.644132653061225</v>
      </c>
      <c r="G18" s="30"/>
      <c r="H18" s="33" t="n">
        <f aca="false">SUM(H13:H17)</f>
        <v>614600</v>
      </c>
      <c r="I18" s="31" t="n">
        <f aca="false">SUM(I13:I17)</f>
        <v>12</v>
      </c>
      <c r="J18" s="30"/>
    </row>
    <row r="20" customFormat="false" ht="15" hidden="false" customHeight="false" outlineLevel="0" collapsed="false">
      <c r="A20" s="9" t="s">
        <v>31</v>
      </c>
      <c r="B20" s="9" t="s">
        <v>104</v>
      </c>
      <c r="C20" s="14" t="n">
        <v>3</v>
      </c>
      <c r="D20" s="28" t="n">
        <f aca="false">C20*168</f>
        <v>504</v>
      </c>
      <c r="E20" s="14" t="n">
        <v>234</v>
      </c>
      <c r="F20" s="12" t="n">
        <f aca="false">IF(D20=0,0,E20/D20)</f>
        <v>0.464285714285714</v>
      </c>
      <c r="G20" s="18" t="n">
        <v>425</v>
      </c>
      <c r="H20" s="10" t="n">
        <f aca="false">E20*G20</f>
        <v>99450</v>
      </c>
      <c r="I20" s="14" t="n">
        <v>0</v>
      </c>
      <c r="J20" s="9" t="s">
        <v>134</v>
      </c>
    </row>
    <row r="21" customFormat="false" ht="15" hidden="false" customHeight="false" outlineLevel="0" collapsed="false">
      <c r="A21" s="9" t="s">
        <v>31</v>
      </c>
      <c r="B21" s="9" t="s">
        <v>127</v>
      </c>
      <c r="C21" s="14" t="n">
        <v>7</v>
      </c>
      <c r="D21" s="28" t="n">
        <f aca="false">C21*168</f>
        <v>1176</v>
      </c>
      <c r="E21" s="14" t="n">
        <v>750</v>
      </c>
      <c r="F21" s="12" t="n">
        <f aca="false">IF(D21=0,0,E21/D21)</f>
        <v>0.637755102040816</v>
      </c>
      <c r="G21" s="18" t="n">
        <v>285</v>
      </c>
      <c r="H21" s="10" t="n">
        <f aca="false">E21*G21</f>
        <v>213750</v>
      </c>
      <c r="I21" s="14" t="n">
        <v>2</v>
      </c>
      <c r="J21" s="9"/>
    </row>
    <row r="22" customFormat="false" ht="15" hidden="false" customHeight="false" outlineLevel="0" collapsed="false">
      <c r="A22" s="9" t="s">
        <v>31</v>
      </c>
      <c r="B22" s="9" t="s">
        <v>128</v>
      </c>
      <c r="C22" s="14" t="n">
        <v>9</v>
      </c>
      <c r="D22" s="28" t="n">
        <f aca="false">C22*168</f>
        <v>1512</v>
      </c>
      <c r="E22" s="14" t="n">
        <v>1023</v>
      </c>
      <c r="F22" s="12" t="n">
        <f aca="false">IF(D22=0,0,E22/D22)</f>
        <v>0.676587301587302</v>
      </c>
      <c r="G22" s="18" t="n">
        <v>195</v>
      </c>
      <c r="H22" s="10" t="n">
        <f aca="false">E22*G22</f>
        <v>199485</v>
      </c>
      <c r="I22" s="14" t="n">
        <v>4</v>
      </c>
      <c r="J22" s="9"/>
    </row>
    <row r="23" customFormat="false" ht="15" hidden="false" customHeight="false" outlineLevel="0" collapsed="false">
      <c r="A23" s="9" t="s">
        <v>31</v>
      </c>
      <c r="B23" s="9" t="s">
        <v>129</v>
      </c>
      <c r="C23" s="14" t="n">
        <v>12</v>
      </c>
      <c r="D23" s="28" t="n">
        <f aca="false">C23*168</f>
        <v>2016</v>
      </c>
      <c r="E23" s="14" t="n">
        <v>1384</v>
      </c>
      <c r="F23" s="12" t="n">
        <f aca="false">IF(D23=0,0,E23/D23)</f>
        <v>0.686507936507937</v>
      </c>
      <c r="G23" s="18" t="n">
        <v>145</v>
      </c>
      <c r="H23" s="10" t="n">
        <f aca="false">E23*G23</f>
        <v>200680</v>
      </c>
      <c r="I23" s="14" t="n">
        <v>5</v>
      </c>
      <c r="J23" s="9"/>
    </row>
    <row r="24" customFormat="false" ht="15" hidden="false" customHeight="false" outlineLevel="0" collapsed="false">
      <c r="A24" s="28" t="s">
        <v>31</v>
      </c>
      <c r="B24" s="28" t="s">
        <v>130</v>
      </c>
      <c r="C24" s="14" t="n">
        <v>5</v>
      </c>
      <c r="D24" s="28"/>
      <c r="E24" s="28"/>
      <c r="F24" s="28"/>
      <c r="G24" s="28"/>
      <c r="H24" s="28"/>
      <c r="I24" s="14" t="n">
        <v>1</v>
      </c>
      <c r="J24" s="28"/>
    </row>
    <row r="25" customFormat="false" ht="15" hidden="false" customHeight="false" outlineLevel="0" collapsed="false">
      <c r="A25" s="29" t="s">
        <v>135</v>
      </c>
      <c r="B25" s="30"/>
      <c r="C25" s="31" t="n">
        <f aca="false">SUM(C20:C24)</f>
        <v>36</v>
      </c>
      <c r="D25" s="31" t="n">
        <f aca="false">SUM(D20:D24)</f>
        <v>5208</v>
      </c>
      <c r="E25" s="31" t="n">
        <f aca="false">SUM(E20:E24)</f>
        <v>3391</v>
      </c>
      <c r="F25" s="32" t="n">
        <f aca="false">IF(D25=0,0,E25/D25)</f>
        <v>0.651113671274962</v>
      </c>
      <c r="G25" s="30"/>
      <c r="H25" s="33" t="n">
        <f aca="false">SUM(H20:H24)</f>
        <v>713365</v>
      </c>
      <c r="I25" s="31" t="n">
        <f aca="false">SUM(I20:I24)</f>
        <v>12</v>
      </c>
      <c r="J25" s="30"/>
    </row>
    <row r="27" customFormat="false" ht="15" hidden="false" customHeight="false" outlineLevel="0" collapsed="false">
      <c r="A27" s="9" t="s">
        <v>32</v>
      </c>
      <c r="B27" s="9" t="s">
        <v>104</v>
      </c>
      <c r="C27" s="14" t="n">
        <v>2</v>
      </c>
      <c r="D27" s="28" t="n">
        <f aca="false">C27*168</f>
        <v>336</v>
      </c>
      <c r="E27" s="14" t="n">
        <v>148</v>
      </c>
      <c r="F27" s="12" t="n">
        <f aca="false">IF(D27=0,0,E27/D27)</f>
        <v>0.44047619047619</v>
      </c>
      <c r="G27" s="18" t="n">
        <v>425</v>
      </c>
      <c r="H27" s="10" t="n">
        <f aca="false">E27*G27</f>
        <v>62900</v>
      </c>
      <c r="I27" s="14" t="n">
        <v>0</v>
      </c>
      <c r="J27" s="9" t="s">
        <v>132</v>
      </c>
    </row>
    <row r="28" customFormat="false" ht="15" hidden="false" customHeight="false" outlineLevel="0" collapsed="false">
      <c r="A28" s="9" t="s">
        <v>32</v>
      </c>
      <c r="B28" s="9" t="s">
        <v>127</v>
      </c>
      <c r="C28" s="14" t="n">
        <v>5</v>
      </c>
      <c r="D28" s="28" t="n">
        <f aca="false">C28*168</f>
        <v>840</v>
      </c>
      <c r="E28" s="14" t="n">
        <v>499</v>
      </c>
      <c r="F28" s="12" t="n">
        <f aca="false">IF(D28=0,0,E28/D28)</f>
        <v>0.594047619047619</v>
      </c>
      <c r="G28" s="18" t="n">
        <v>285</v>
      </c>
      <c r="H28" s="10" t="n">
        <f aca="false">E28*G28</f>
        <v>142215</v>
      </c>
      <c r="I28" s="14" t="n">
        <v>0</v>
      </c>
      <c r="J28" s="9"/>
    </row>
    <row r="29" customFormat="false" ht="15" hidden="false" customHeight="false" outlineLevel="0" collapsed="false">
      <c r="A29" s="9" t="s">
        <v>32</v>
      </c>
      <c r="B29" s="9" t="s">
        <v>128</v>
      </c>
      <c r="C29" s="14" t="n">
        <v>8</v>
      </c>
      <c r="D29" s="28" t="n">
        <f aca="false">C29*168</f>
        <v>1344</v>
      </c>
      <c r="E29" s="14" t="n">
        <v>884</v>
      </c>
      <c r="F29" s="12" t="n">
        <f aca="false">IF(D29=0,0,E29/D29)</f>
        <v>0.657738095238095</v>
      </c>
      <c r="G29" s="18" t="n">
        <v>195</v>
      </c>
      <c r="H29" s="10" t="n">
        <f aca="false">E29*G29</f>
        <v>172380</v>
      </c>
      <c r="I29" s="14" t="n">
        <v>1</v>
      </c>
      <c r="J29" s="9"/>
    </row>
    <row r="30" customFormat="false" ht="15" hidden="false" customHeight="false" outlineLevel="0" collapsed="false">
      <c r="A30" s="9" t="s">
        <v>32</v>
      </c>
      <c r="B30" s="9" t="s">
        <v>129</v>
      </c>
      <c r="C30" s="14" t="n">
        <v>9</v>
      </c>
      <c r="D30" s="28" t="n">
        <f aca="false">C30*168</f>
        <v>1512</v>
      </c>
      <c r="E30" s="14" t="n">
        <v>1019</v>
      </c>
      <c r="F30" s="12" t="n">
        <f aca="false">IF(D30=0,0,E30/D30)</f>
        <v>0.673941798941799</v>
      </c>
      <c r="G30" s="18" t="n">
        <v>145</v>
      </c>
      <c r="H30" s="10" t="n">
        <f aca="false">E30*G30</f>
        <v>147755</v>
      </c>
      <c r="I30" s="14" t="n">
        <v>1</v>
      </c>
      <c r="J30" s="9"/>
    </row>
    <row r="31" customFormat="false" ht="15" hidden="false" customHeight="false" outlineLevel="0" collapsed="false">
      <c r="A31" s="28" t="s">
        <v>32</v>
      </c>
      <c r="B31" s="28" t="s">
        <v>130</v>
      </c>
      <c r="C31" s="14" t="n">
        <v>4</v>
      </c>
      <c r="D31" s="28"/>
      <c r="E31" s="28"/>
      <c r="F31" s="28"/>
      <c r="G31" s="28"/>
      <c r="H31" s="28"/>
      <c r="I31" s="14" t="n">
        <v>0</v>
      </c>
      <c r="J31" s="28"/>
    </row>
    <row r="32" customFormat="false" ht="15" hidden="false" customHeight="false" outlineLevel="0" collapsed="false">
      <c r="A32" s="29" t="s">
        <v>136</v>
      </c>
      <c r="B32" s="30"/>
      <c r="C32" s="31" t="n">
        <f aca="false">SUM(C27:C31)</f>
        <v>28</v>
      </c>
      <c r="D32" s="31" t="n">
        <f aca="false">SUM(D27:D31)</f>
        <v>4032</v>
      </c>
      <c r="E32" s="31" t="n">
        <f aca="false">SUM(E27:E31)</f>
        <v>2550</v>
      </c>
      <c r="F32" s="32" t="n">
        <f aca="false">IF(D32=0,0,E32/D32)</f>
        <v>0.632440476190476</v>
      </c>
      <c r="G32" s="30"/>
      <c r="H32" s="33" t="n">
        <f aca="false">SUM(H27:H31)</f>
        <v>525250</v>
      </c>
      <c r="I32" s="31" t="n">
        <f aca="false">SUM(I27:I31)</f>
        <v>2</v>
      </c>
      <c r="J32" s="30"/>
    </row>
    <row r="34" customFormat="false" ht="15" hidden="false" customHeight="false" outlineLevel="0" collapsed="false">
      <c r="A34" s="9" t="s">
        <v>137</v>
      </c>
      <c r="C34" s="34" t="n">
        <v>15</v>
      </c>
    </row>
    <row r="35" customFormat="false" ht="15" hidden="false" customHeight="false" outlineLevel="0" collapsed="false">
      <c r="A35" s="27" t="s">
        <v>138</v>
      </c>
      <c r="C35" s="35" t="n">
        <f aca="false">C11+C18+C25+C32+C34</f>
        <v>212</v>
      </c>
    </row>
    <row r="36" customFormat="false" ht="15" hidden="false" customHeight="false" outlineLevel="0" collapsed="false">
      <c r="A36" s="9" t="s">
        <v>139</v>
      </c>
      <c r="C36" s="34" t="n">
        <v>12</v>
      </c>
    </row>
  </sheetData>
  <mergeCells count="3">
    <mergeCell ref="A1:J1"/>
    <mergeCell ref="A2:J2"/>
    <mergeCell ref="A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6" min="2" style="0" width="15"/>
  </cols>
  <sheetData>
    <row r="1" customFormat="false" ht="16.15" hidden="false" customHeight="false" outlineLevel="0" collapsed="false">
      <c r="A1" s="5" t="s">
        <v>0</v>
      </c>
      <c r="B1" s="5"/>
      <c r="C1" s="5"/>
      <c r="D1" s="5"/>
      <c r="E1" s="5"/>
      <c r="F1" s="5"/>
      <c r="G1" s="5"/>
      <c r="H1" s="5"/>
      <c r="I1" s="5"/>
    </row>
    <row r="2" customFormat="false" ht="15" hidden="false" customHeight="false" outlineLevel="0" collapsed="false">
      <c r="A2" s="6" t="s">
        <v>140</v>
      </c>
      <c r="B2" s="6"/>
      <c r="C2" s="6"/>
      <c r="D2" s="6"/>
      <c r="E2" s="6"/>
      <c r="F2" s="6"/>
      <c r="G2" s="6"/>
      <c r="H2" s="6"/>
      <c r="I2" s="6"/>
    </row>
    <row r="3" customFormat="false" ht="15" hidden="false" customHeight="false" outlineLevel="0" collapsed="false">
      <c r="A3" s="7" t="s">
        <v>28</v>
      </c>
      <c r="B3" s="7"/>
      <c r="C3" s="7"/>
      <c r="D3" s="7"/>
      <c r="E3" s="7"/>
      <c r="F3" s="7"/>
      <c r="G3" s="7"/>
      <c r="H3" s="7"/>
      <c r="I3" s="7"/>
    </row>
    <row r="5" customFormat="false" ht="22.35" hidden="false" customHeight="false" outlineLevel="0" collapsed="false">
      <c r="A5" s="8" t="s">
        <v>141</v>
      </c>
      <c r="B5" s="8" t="s">
        <v>29</v>
      </c>
      <c r="C5" s="8" t="s">
        <v>30</v>
      </c>
      <c r="D5" s="8" t="s">
        <v>31</v>
      </c>
      <c r="E5" s="8" t="s">
        <v>32</v>
      </c>
      <c r="F5" s="8" t="s">
        <v>142</v>
      </c>
      <c r="G5" s="8"/>
      <c r="H5" s="8"/>
      <c r="I5" s="8"/>
    </row>
    <row r="6" customFormat="false" ht="15" hidden="false" customHeight="false" outlineLevel="0" collapsed="false">
      <c r="A6" s="16" t="s">
        <v>143</v>
      </c>
      <c r="B6" s="17"/>
      <c r="C6" s="17"/>
      <c r="D6" s="17"/>
      <c r="E6" s="17"/>
      <c r="F6" s="17"/>
    </row>
    <row r="7" customFormat="false" ht="15" hidden="false" customHeight="false" outlineLevel="0" collapsed="false">
      <c r="A7" s="9" t="s">
        <v>144</v>
      </c>
      <c r="B7" s="10" t="n">
        <f aca="false">'People &amp; Utilization'!H11</f>
        <v>2098240</v>
      </c>
      <c r="C7" s="10" t="n">
        <f aca="false">'People &amp; Utilization'!H18</f>
        <v>614600</v>
      </c>
      <c r="D7" s="10" t="n">
        <f aca="false">'People &amp; Utilization'!H25</f>
        <v>713365</v>
      </c>
      <c r="E7" s="10" t="n">
        <f aca="false">'People &amp; Utilization'!H32</f>
        <v>525250</v>
      </c>
      <c r="F7" s="19" t="n">
        <f aca="false">SUM(B7:E7)</f>
        <v>3951455</v>
      </c>
    </row>
    <row r="8" customFormat="false" ht="15" hidden="false" customHeight="false" outlineLevel="0" collapsed="false">
      <c r="A8" s="9" t="s">
        <v>17</v>
      </c>
      <c r="B8" s="10" t="n">
        <f aca="false">'Practice P&amp;L'!B12</f>
        <v>1909330</v>
      </c>
      <c r="C8" s="10" t="n">
        <f aca="false">'Practice P&amp;L'!C12</f>
        <v>540553</v>
      </c>
      <c r="D8" s="10" t="n">
        <f aca="false">'Practice P&amp;L'!D12</f>
        <v>542218</v>
      </c>
      <c r="E8" s="10" t="n">
        <f aca="false">'Practice P&amp;L'!E12</f>
        <v>483317</v>
      </c>
      <c r="F8" s="19" t="n">
        <f aca="false">SUM(B8:E8)</f>
        <v>3475418</v>
      </c>
    </row>
    <row r="9" customFormat="false" ht="15" hidden="false" customHeight="false" outlineLevel="0" collapsed="false">
      <c r="A9" s="9" t="s">
        <v>145</v>
      </c>
      <c r="B9" s="12" t="n">
        <f aca="false">IF(B7=0,0,B8/B7)</f>
        <v>0.909967401250572</v>
      </c>
      <c r="C9" s="12" t="n">
        <f aca="false">IF(C7=0,0,C8/C7)</f>
        <v>0.879520013016596</v>
      </c>
      <c r="D9" s="12" t="n">
        <f aca="false">IF(D7=0,0,D8/D7)</f>
        <v>0.760084949499905</v>
      </c>
      <c r="E9" s="12" t="n">
        <f aca="false">IF(E7=0,0,E8/E7)</f>
        <v>0.920165635411709</v>
      </c>
      <c r="F9" s="36" t="n">
        <f aca="false">IF(F7=0,0,F8/F7)</f>
        <v>0.879528679941945</v>
      </c>
    </row>
    <row r="10" customFormat="false" ht="15" hidden="false" customHeight="false" outlineLevel="0" collapsed="false">
      <c r="A10" s="9" t="s">
        <v>146</v>
      </c>
      <c r="B10" s="18" t="n">
        <v>118000</v>
      </c>
      <c r="C10" s="18" t="n">
        <v>96000</v>
      </c>
      <c r="D10" s="18" t="n">
        <v>412000</v>
      </c>
      <c r="E10" s="18" t="n">
        <v>14000</v>
      </c>
      <c r="F10" s="19" t="n">
        <f aca="false">SUM(B10:E10)</f>
        <v>640000</v>
      </c>
    </row>
    <row r="12" customFormat="false" ht="15" hidden="false" customHeight="false" outlineLevel="0" collapsed="false">
      <c r="A12" s="16" t="s">
        <v>147</v>
      </c>
      <c r="B12" s="17"/>
      <c r="C12" s="17"/>
      <c r="D12" s="17"/>
      <c r="E12" s="17"/>
      <c r="F12" s="17"/>
    </row>
    <row r="13" customFormat="false" ht="15" hidden="false" customHeight="false" outlineLevel="0" collapsed="false">
      <c r="A13" s="9" t="s">
        <v>148</v>
      </c>
      <c r="B13" s="18" t="n">
        <v>897000</v>
      </c>
      <c r="C13" s="18" t="n">
        <v>296400</v>
      </c>
      <c r="D13" s="18" t="n">
        <v>254800</v>
      </c>
      <c r="E13" s="18" t="n">
        <v>222300</v>
      </c>
      <c r="F13" s="19" t="n">
        <f aca="false">SUM(B13:E13)</f>
        <v>1670500</v>
      </c>
    </row>
    <row r="14" customFormat="false" ht="15" hidden="false" customHeight="false" outlineLevel="0" collapsed="false">
      <c r="A14" s="9" t="s">
        <v>149</v>
      </c>
      <c r="B14" s="18" t="n">
        <v>405600</v>
      </c>
      <c r="C14" s="18" t="n">
        <v>135200</v>
      </c>
      <c r="D14" s="18" t="n">
        <v>196300</v>
      </c>
      <c r="E14" s="18" t="n">
        <v>75400</v>
      </c>
      <c r="F14" s="19" t="n">
        <f aca="false">SUM(B14:E14)</f>
        <v>812500</v>
      </c>
    </row>
    <row r="15" customFormat="false" ht="15" hidden="false" customHeight="false" outlineLevel="0" collapsed="false">
      <c r="A15" s="9" t="s">
        <v>150</v>
      </c>
      <c r="B15" s="18" t="n">
        <v>153400</v>
      </c>
      <c r="C15" s="18" t="n">
        <v>61100</v>
      </c>
      <c r="D15" s="18" t="n">
        <v>158600</v>
      </c>
      <c r="E15" s="18" t="n">
        <v>15600</v>
      </c>
      <c r="F15" s="19" t="n">
        <f aca="false">SUM(B15:E15)</f>
        <v>388700</v>
      </c>
    </row>
    <row r="16" customFormat="false" ht="15" hidden="false" customHeight="false" outlineLevel="0" collapsed="false">
      <c r="A16" s="9" t="s">
        <v>151</v>
      </c>
      <c r="B16" s="18" t="n">
        <v>67600</v>
      </c>
      <c r="C16" s="18" t="n">
        <v>36400</v>
      </c>
      <c r="D16" s="18" t="n">
        <v>141700</v>
      </c>
      <c r="E16" s="18" t="n">
        <v>0</v>
      </c>
      <c r="F16" s="19" t="n">
        <f aca="false">SUM(B16:E16)</f>
        <v>245700</v>
      </c>
    </row>
    <row r="17" customFormat="false" ht="15" hidden="false" customHeight="false" outlineLevel="0" collapsed="false">
      <c r="A17" s="9" t="s">
        <v>152</v>
      </c>
      <c r="B17" s="18" t="n">
        <v>53300</v>
      </c>
      <c r="C17" s="18" t="n">
        <v>28600</v>
      </c>
      <c r="D17" s="18" t="n">
        <v>413400</v>
      </c>
      <c r="E17" s="18" t="n">
        <v>0</v>
      </c>
      <c r="F17" s="19" t="n">
        <f aca="false">SUM(B17:E17)</f>
        <v>495300</v>
      </c>
    </row>
    <row r="18" customFormat="false" ht="15" hidden="false" customHeight="false" outlineLevel="0" collapsed="false">
      <c r="A18" s="27" t="s">
        <v>153</v>
      </c>
      <c r="B18" s="19" t="n">
        <f aca="false">SUM(B13:B17)</f>
        <v>1576900</v>
      </c>
      <c r="C18" s="19" t="n">
        <f aca="false">SUM(C13:C17)</f>
        <v>557700</v>
      </c>
      <c r="D18" s="19" t="n">
        <f aca="false">SUM(D13:D17)</f>
        <v>1164800</v>
      </c>
      <c r="E18" s="19" t="n">
        <f aca="false">SUM(E13:E17)</f>
        <v>313300</v>
      </c>
      <c r="F18" s="19" t="n">
        <f aca="false">SUM(B18:E18)</f>
        <v>3612700</v>
      </c>
    </row>
    <row r="20" customFormat="false" ht="15" hidden="false" customHeight="false" outlineLevel="0" collapsed="false">
      <c r="A20" s="16" t="s">
        <v>154</v>
      </c>
      <c r="B20" s="17"/>
      <c r="C20" s="17"/>
      <c r="D20" s="17"/>
      <c r="E20" s="17"/>
      <c r="F20" s="17"/>
    </row>
    <row r="21" customFormat="false" ht="15" hidden="false" customHeight="false" outlineLevel="0" collapsed="false">
      <c r="A21" s="9" t="s">
        <v>155</v>
      </c>
      <c r="B21" s="18" t="n">
        <v>1313000</v>
      </c>
      <c r="C21" s="18" t="n">
        <v>439400</v>
      </c>
      <c r="D21" s="18" t="n">
        <v>391300</v>
      </c>
      <c r="E21" s="18" t="n">
        <v>317200</v>
      </c>
      <c r="F21" s="19" t="n">
        <f aca="false">SUM(B21:E21)</f>
        <v>2460900</v>
      </c>
    </row>
    <row r="22" customFormat="false" ht="15" hidden="false" customHeight="false" outlineLevel="0" collapsed="false">
      <c r="A22" s="9" t="s">
        <v>156</v>
      </c>
      <c r="B22" s="18" t="n">
        <v>522600</v>
      </c>
      <c r="C22" s="18" t="n">
        <v>183300</v>
      </c>
      <c r="D22" s="18" t="n">
        <v>178100</v>
      </c>
      <c r="E22" s="18" t="n">
        <v>79300</v>
      </c>
      <c r="F22" s="19" t="n">
        <f aca="false">SUM(B22:E22)</f>
        <v>963300</v>
      </c>
    </row>
    <row r="23" customFormat="false" ht="15" hidden="false" customHeight="false" outlineLevel="0" collapsed="false">
      <c r="A23" s="9" t="s">
        <v>157</v>
      </c>
      <c r="B23" s="18" t="n">
        <v>215800</v>
      </c>
      <c r="C23" s="18" t="n">
        <v>93600</v>
      </c>
      <c r="D23" s="18" t="n">
        <v>114400</v>
      </c>
      <c r="E23" s="18" t="n">
        <v>11700</v>
      </c>
      <c r="F23" s="19" t="n">
        <f aca="false">SUM(B23:E23)</f>
        <v>435500</v>
      </c>
    </row>
    <row r="24" customFormat="false" ht="15" hidden="false" customHeight="false" outlineLevel="0" collapsed="false">
      <c r="A24" s="9" t="s">
        <v>158</v>
      </c>
      <c r="B24" s="18" t="n">
        <v>127400</v>
      </c>
      <c r="C24" s="18" t="n">
        <v>79300</v>
      </c>
      <c r="D24" s="18" t="n">
        <v>124800</v>
      </c>
      <c r="E24" s="18" t="n">
        <v>0</v>
      </c>
      <c r="F24" s="19" t="n">
        <f aca="false">SUM(B24:E24)</f>
        <v>331500</v>
      </c>
    </row>
    <row r="25" customFormat="false" ht="15" hidden="false" customHeight="false" outlineLevel="0" collapsed="false">
      <c r="A25" s="27" t="s">
        <v>159</v>
      </c>
      <c r="B25" s="19" t="n">
        <f aca="false">SUM(B21:B24)</f>
        <v>2178800</v>
      </c>
      <c r="C25" s="19" t="n">
        <f aca="false">SUM(C21:C24)</f>
        <v>795600</v>
      </c>
      <c r="D25" s="19" t="n">
        <f aca="false">SUM(D21:D24)</f>
        <v>808600</v>
      </c>
      <c r="E25" s="19" t="n">
        <f aca="false">SUM(E21:E24)</f>
        <v>408200</v>
      </c>
      <c r="F25" s="19" t="n">
        <f aca="false">SUM(B25:E25)</f>
        <v>4191200</v>
      </c>
    </row>
    <row r="27" customFormat="false" ht="15" hidden="false" customHeight="false" outlineLevel="0" collapsed="false">
      <c r="A27" s="16" t="s">
        <v>160</v>
      </c>
      <c r="B27" s="17"/>
      <c r="C27" s="17"/>
      <c r="D27" s="17"/>
      <c r="E27" s="17"/>
      <c r="F27" s="17"/>
    </row>
    <row r="28" customFormat="false" ht="15" hidden="false" customHeight="false" outlineLevel="0" collapsed="false">
      <c r="A28" s="9" t="s">
        <v>161</v>
      </c>
      <c r="B28" s="18" t="n">
        <v>4387709</v>
      </c>
      <c r="C28" s="18" t="n">
        <v>1184232</v>
      </c>
      <c r="D28" s="18" t="n">
        <v>1176183</v>
      </c>
      <c r="E28" s="18" t="n">
        <v>1056881</v>
      </c>
      <c r="F28" s="19" t="n">
        <f aca="false">SUM(B28:E28)</f>
        <v>7805005</v>
      </c>
    </row>
    <row r="29" customFormat="false" ht="15" hidden="false" customHeight="false" outlineLevel="0" collapsed="false">
      <c r="A29" s="9" t="s">
        <v>162</v>
      </c>
      <c r="B29" s="15" t="n">
        <f aca="false">IF(B28=0,0,B18/(B28*4/365))</f>
        <v>32.7943637556638</v>
      </c>
      <c r="C29" s="15" t="n">
        <f aca="false">IF(C28=0,0,C18/(C28*4/365))</f>
        <v>42.9731040877125</v>
      </c>
      <c r="D29" s="15" t="n">
        <f aca="false">IF(D28=0,0,D18/(D28*4/365))</f>
        <v>90.3668901863061</v>
      </c>
      <c r="E29" s="15" t="n">
        <f aca="false">IF(E28=0,0,E18/(E28*4/365))</f>
        <v>27.0499942756091</v>
      </c>
      <c r="F29" s="37" t="n">
        <f aca="false">IF(F28=0,0,F18/(F28*4/365))</f>
        <v>42.2368563505084</v>
      </c>
    </row>
    <row r="30" customFormat="false" ht="15" hidden="false" customHeight="false" outlineLevel="0" collapsed="false">
      <c r="A30" s="9" t="s">
        <v>163</v>
      </c>
      <c r="B30" s="15" t="n">
        <f aca="false">IF(B28=0,0,B25/(B28*4/365))</f>
        <v>45.3119156261274</v>
      </c>
      <c r="C30" s="15" t="n">
        <f aca="false">IF(C28=0,0,C25/(C28*4/365))</f>
        <v>61.3042883489046</v>
      </c>
      <c r="D30" s="15" t="n">
        <f aca="false">IF(D28=0,0,D25/(D28*4/365))</f>
        <v>62.7323724284401</v>
      </c>
      <c r="E30" s="15" t="n">
        <f aca="false">IF(E28=0,0,E25/(E28*4/365))</f>
        <v>35.2435610063952</v>
      </c>
      <c r="F30" s="37" t="n">
        <f aca="false">IF(F28=0,0,F25/(F28*4/365))</f>
        <v>49.0002248557176</v>
      </c>
    </row>
    <row r="31" customFormat="false" ht="15" hidden="false" customHeight="false" outlineLevel="0" collapsed="false">
      <c r="A31" s="27" t="s">
        <v>164</v>
      </c>
      <c r="B31" s="37" t="n">
        <f aca="false">B29+B30</f>
        <v>78.1062793817913</v>
      </c>
      <c r="C31" s="37" t="n">
        <f aca="false">C29+C30</f>
        <v>104.277392436617</v>
      </c>
      <c r="D31" s="37" t="n">
        <f aca="false">D29+D30</f>
        <v>153.099262614746</v>
      </c>
      <c r="E31" s="37" t="n">
        <f aca="false">E29+E30</f>
        <v>62.2935552820043</v>
      </c>
      <c r="F31" s="37" t="n">
        <f aca="false">F29+F30</f>
        <v>91.237081206226</v>
      </c>
    </row>
    <row r="33" customFormat="false" ht="15" hidden="false" customHeight="false" outlineLevel="0" collapsed="false">
      <c r="A33" s="22" t="s">
        <v>165</v>
      </c>
    </row>
  </sheetData>
  <mergeCells count="3">
    <mergeCell ref="A1:I1"/>
    <mergeCell ref="A2:I2"/>
    <mergeCell ref="A3:I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4"/>
    <col collapsed="false" customWidth="true" hidden="false" outlineLevel="0" max="3" min="3" style="0" width="22"/>
    <col collapsed="false" customWidth="true" hidden="false" outlineLevel="0" max="4" min="4" style="0" width="18"/>
    <col collapsed="false" customWidth="true" hidden="false" outlineLevel="0" max="5" min="5" style="0" width="22"/>
    <col collapsed="false" customWidth="true" hidden="false" outlineLevel="0" max="6" min="6" style="0" width="14"/>
    <col collapsed="false" customWidth="true" hidden="false" outlineLevel="0" max="7" min="7" style="0" width="18"/>
    <col collapsed="false" customWidth="true" hidden="false" outlineLevel="0" max="8" min="8" style="0" width="36"/>
  </cols>
  <sheetData>
    <row r="1" customFormat="false" ht="16.15" hidden="false" customHeight="false" outlineLevel="0" collapsed="false">
      <c r="A1" s="5" t="s">
        <v>0</v>
      </c>
      <c r="B1" s="5"/>
      <c r="C1" s="5"/>
      <c r="D1" s="5"/>
      <c r="E1" s="5"/>
      <c r="F1" s="5"/>
      <c r="G1" s="5"/>
      <c r="H1" s="5"/>
    </row>
    <row r="2" customFormat="false" ht="15" hidden="false" customHeight="false" outlineLevel="0" collapsed="false">
      <c r="A2" s="6" t="s">
        <v>166</v>
      </c>
      <c r="B2" s="6"/>
      <c r="C2" s="6"/>
      <c r="D2" s="6"/>
      <c r="E2" s="6"/>
      <c r="F2" s="6"/>
      <c r="G2" s="6"/>
      <c r="H2" s="6"/>
    </row>
    <row r="3" customFormat="false" ht="15" hidden="false" customHeight="false" outlineLevel="0" collapsed="false">
      <c r="A3" s="7" t="s">
        <v>167</v>
      </c>
      <c r="B3" s="7"/>
      <c r="C3" s="7"/>
      <c r="D3" s="7"/>
      <c r="E3" s="7"/>
      <c r="F3" s="7"/>
      <c r="G3" s="7"/>
      <c r="H3" s="7"/>
    </row>
    <row r="5" customFormat="false" ht="30" hidden="false" customHeight="true" outlineLevel="0" collapsed="false">
      <c r="A5" s="8" t="s">
        <v>105</v>
      </c>
      <c r="B5" s="8" t="s">
        <v>168</v>
      </c>
      <c r="C5" s="8" t="s">
        <v>169</v>
      </c>
      <c r="D5" s="8" t="s">
        <v>170</v>
      </c>
      <c r="E5" s="8" t="s">
        <v>171</v>
      </c>
      <c r="F5" s="8" t="s">
        <v>172</v>
      </c>
      <c r="G5" s="8"/>
      <c r="H5" s="8"/>
    </row>
    <row r="6" customFormat="false" ht="15" hidden="false" customHeight="false" outlineLevel="0" collapsed="false">
      <c r="A6" s="28" t="s">
        <v>29</v>
      </c>
      <c r="B6" s="14" t="n">
        <v>1420</v>
      </c>
      <c r="C6" s="14" t="n">
        <v>52</v>
      </c>
      <c r="D6" s="14" t="n">
        <v>118</v>
      </c>
      <c r="E6" s="28" t="n">
        <f aca="false">B6-C6+D6</f>
        <v>1486</v>
      </c>
      <c r="F6" s="12" t="n">
        <f aca="false">IF(B6=0,0,1-C6/B6)</f>
        <v>0.963380281690141</v>
      </c>
    </row>
    <row r="7" customFormat="false" ht="15" hidden="false" customHeight="false" outlineLevel="0" collapsed="false">
      <c r="A7" s="28" t="s">
        <v>30</v>
      </c>
      <c r="B7" s="14" t="n">
        <v>610</v>
      </c>
      <c r="C7" s="14" t="n">
        <v>98</v>
      </c>
      <c r="D7" s="14" t="n">
        <v>21</v>
      </c>
      <c r="E7" s="28" t="n">
        <f aca="false">B7-C7+D7</f>
        <v>533</v>
      </c>
      <c r="F7" s="12" t="n">
        <f aca="false">IF(B7=0,0,1-C7/B7)</f>
        <v>0.839344262295082</v>
      </c>
    </row>
    <row r="8" customFormat="false" ht="15" hidden="false" customHeight="false" outlineLevel="0" collapsed="false">
      <c r="A8" s="28" t="s">
        <v>31</v>
      </c>
      <c r="B8" s="14" t="n">
        <v>480</v>
      </c>
      <c r="C8" s="14" t="n">
        <v>21</v>
      </c>
      <c r="D8" s="14" t="n">
        <v>9</v>
      </c>
      <c r="E8" s="28" t="n">
        <f aca="false">B8-C8+D8</f>
        <v>468</v>
      </c>
      <c r="F8" s="12" t="n">
        <f aca="false">IF(B8=0,0,1-C8/B8)</f>
        <v>0.95625</v>
      </c>
    </row>
    <row r="9" customFormat="false" ht="15" hidden="false" customHeight="false" outlineLevel="0" collapsed="false">
      <c r="A9" s="28" t="s">
        <v>32</v>
      </c>
      <c r="B9" s="14" t="n">
        <v>355</v>
      </c>
      <c r="C9" s="14" t="n">
        <v>2</v>
      </c>
      <c r="D9" s="14" t="n">
        <v>4</v>
      </c>
      <c r="E9" s="28" t="n">
        <f aca="false">B9-C9+D9</f>
        <v>357</v>
      </c>
      <c r="F9" s="12" t="n">
        <f aca="false">IF(B9=0,0,1-C9/B9)</f>
        <v>0.994366197183099</v>
      </c>
    </row>
    <row r="10" customFormat="false" ht="15" hidden="false" customHeight="false" outlineLevel="0" collapsed="false">
      <c r="A10" s="27" t="s">
        <v>142</v>
      </c>
      <c r="B10" s="35" t="n">
        <f aca="false">SUM(B6:B9)</f>
        <v>2865</v>
      </c>
      <c r="C10" s="35" t="n">
        <f aca="false">SUM(C6:C9)</f>
        <v>173</v>
      </c>
      <c r="D10" s="35" t="n">
        <f aca="false">SUM(D6:D9)</f>
        <v>152</v>
      </c>
      <c r="E10" s="35" t="n">
        <f aca="false">SUM(E6:E9)</f>
        <v>2844</v>
      </c>
      <c r="F10" s="36" t="n">
        <f aca="false">IF(B10=0,0,1-C10/B10)</f>
        <v>0.939616055846422</v>
      </c>
    </row>
    <row r="12" customFormat="false" ht="15" hidden="false" customHeight="false" outlineLevel="0" collapsed="false">
      <c r="A12" s="8" t="s">
        <v>173</v>
      </c>
      <c r="B12" s="8" t="s">
        <v>105</v>
      </c>
      <c r="C12" s="8" t="s">
        <v>174</v>
      </c>
      <c r="D12" s="8" t="s">
        <v>175</v>
      </c>
      <c r="E12" s="8" t="s">
        <v>176</v>
      </c>
      <c r="F12" s="8" t="s">
        <v>177</v>
      </c>
      <c r="G12" s="8" t="s">
        <v>178</v>
      </c>
      <c r="H12" s="8" t="s">
        <v>179</v>
      </c>
    </row>
    <row r="13" customFormat="false" ht="15" hidden="false" customHeight="false" outlineLevel="0" collapsed="false">
      <c r="A13" s="9" t="s">
        <v>180</v>
      </c>
      <c r="B13" s="9" t="s">
        <v>29</v>
      </c>
      <c r="C13" s="9" t="s">
        <v>181</v>
      </c>
      <c r="D13" s="9" t="s">
        <v>182</v>
      </c>
      <c r="E13" s="9" t="s">
        <v>183</v>
      </c>
      <c r="F13" s="18" t="n">
        <v>412000</v>
      </c>
      <c r="G13" s="9" t="s">
        <v>184</v>
      </c>
      <c r="H13" s="9"/>
    </row>
    <row r="14" customFormat="false" ht="15" hidden="false" customHeight="false" outlineLevel="0" collapsed="false">
      <c r="A14" s="9" t="s">
        <v>185</v>
      </c>
      <c r="B14" s="9" t="s">
        <v>29</v>
      </c>
      <c r="C14" s="9" t="s">
        <v>186</v>
      </c>
      <c r="D14" s="9" t="s">
        <v>187</v>
      </c>
      <c r="E14" s="9" t="s">
        <v>188</v>
      </c>
      <c r="F14" s="18" t="n">
        <v>368000</v>
      </c>
      <c r="G14" s="9" t="s">
        <v>184</v>
      </c>
      <c r="H14" s="9"/>
    </row>
    <row r="15" customFormat="false" ht="15" hidden="false" customHeight="false" outlineLevel="0" collapsed="false">
      <c r="A15" s="9" t="s">
        <v>189</v>
      </c>
      <c r="B15" s="9" t="s">
        <v>29</v>
      </c>
      <c r="C15" s="9" t="s">
        <v>190</v>
      </c>
      <c r="D15" s="9" t="s">
        <v>191</v>
      </c>
      <c r="E15" s="9" t="s">
        <v>192</v>
      </c>
      <c r="F15" s="18" t="n">
        <v>296000</v>
      </c>
      <c r="G15" s="9" t="s">
        <v>184</v>
      </c>
      <c r="H15" s="9"/>
    </row>
    <row r="16" customFormat="false" ht="15" hidden="false" customHeight="false" outlineLevel="0" collapsed="false">
      <c r="A16" s="9" t="s">
        <v>193</v>
      </c>
      <c r="B16" s="9" t="s">
        <v>30</v>
      </c>
      <c r="C16" s="9" t="s">
        <v>194</v>
      </c>
      <c r="D16" s="9" t="s">
        <v>195</v>
      </c>
      <c r="E16" s="9" t="s">
        <v>196</v>
      </c>
      <c r="F16" s="18" t="n">
        <v>284000</v>
      </c>
      <c r="G16" s="9" t="s">
        <v>197</v>
      </c>
      <c r="H16" s="9" t="s">
        <v>198</v>
      </c>
    </row>
    <row r="17" customFormat="false" ht="15" hidden="false" customHeight="false" outlineLevel="0" collapsed="false">
      <c r="A17" s="9" t="s">
        <v>199</v>
      </c>
      <c r="B17" s="9" t="s">
        <v>29</v>
      </c>
      <c r="C17" s="9" t="s">
        <v>200</v>
      </c>
      <c r="D17" s="9" t="s">
        <v>182</v>
      </c>
      <c r="E17" s="9" t="s">
        <v>183</v>
      </c>
      <c r="F17" s="18" t="n">
        <v>271000</v>
      </c>
      <c r="G17" s="9" t="s">
        <v>184</v>
      </c>
      <c r="H17" s="9"/>
    </row>
    <row r="18" customFormat="false" ht="15" hidden="false" customHeight="false" outlineLevel="0" collapsed="false">
      <c r="A18" s="9" t="s">
        <v>201</v>
      </c>
      <c r="B18" s="9" t="s">
        <v>31</v>
      </c>
      <c r="C18" s="9" t="s">
        <v>202</v>
      </c>
      <c r="D18" s="9" t="s">
        <v>182</v>
      </c>
      <c r="E18" s="9" t="s">
        <v>203</v>
      </c>
      <c r="F18" s="18" t="n">
        <v>254000</v>
      </c>
      <c r="G18" s="9" t="s">
        <v>184</v>
      </c>
      <c r="H18" s="9" t="s">
        <v>204</v>
      </c>
    </row>
    <row r="19" customFormat="false" ht="15" hidden="false" customHeight="false" outlineLevel="0" collapsed="false">
      <c r="A19" s="9" t="s">
        <v>205</v>
      </c>
      <c r="B19" s="9" t="s">
        <v>30</v>
      </c>
      <c r="C19" s="9" t="s">
        <v>206</v>
      </c>
      <c r="D19" s="9" t="s">
        <v>191</v>
      </c>
      <c r="E19" s="9" t="s">
        <v>196</v>
      </c>
      <c r="F19" s="18" t="n">
        <v>198000</v>
      </c>
      <c r="G19" s="9" t="s">
        <v>207</v>
      </c>
      <c r="H19" s="9"/>
    </row>
    <row r="20" customFormat="false" ht="15" hidden="false" customHeight="false" outlineLevel="0" collapsed="false">
      <c r="A20" s="9" t="s">
        <v>208</v>
      </c>
      <c r="B20" s="9" t="s">
        <v>29</v>
      </c>
      <c r="C20" s="9" t="s">
        <v>209</v>
      </c>
      <c r="D20" s="9" t="s">
        <v>210</v>
      </c>
      <c r="E20" s="9" t="s">
        <v>211</v>
      </c>
      <c r="F20" s="18" t="n">
        <v>187000</v>
      </c>
      <c r="G20" s="9" t="s">
        <v>184</v>
      </c>
      <c r="H20" s="9"/>
    </row>
    <row r="21" customFormat="false" ht="15" hidden="false" customHeight="false" outlineLevel="0" collapsed="false">
      <c r="A21" s="9" t="s">
        <v>212</v>
      </c>
      <c r="B21" s="9" t="s">
        <v>31</v>
      </c>
      <c r="C21" s="9" t="s">
        <v>213</v>
      </c>
      <c r="D21" s="9" t="s">
        <v>191</v>
      </c>
      <c r="E21" s="9" t="s">
        <v>214</v>
      </c>
      <c r="F21" s="18" t="n">
        <v>176000</v>
      </c>
      <c r="G21" s="9" t="s">
        <v>184</v>
      </c>
      <c r="H21" s="9" t="s">
        <v>204</v>
      </c>
    </row>
    <row r="22" customFormat="false" ht="15" hidden="false" customHeight="false" outlineLevel="0" collapsed="false">
      <c r="A22" s="9" t="s">
        <v>215</v>
      </c>
      <c r="B22" s="9" t="s">
        <v>32</v>
      </c>
      <c r="C22" s="9" t="s">
        <v>216</v>
      </c>
      <c r="D22" s="9" t="s">
        <v>217</v>
      </c>
      <c r="E22" s="9" t="s">
        <v>218</v>
      </c>
      <c r="F22" s="18" t="n">
        <v>164000</v>
      </c>
      <c r="G22" s="9" t="s">
        <v>184</v>
      </c>
      <c r="H22" s="9"/>
    </row>
    <row r="23" customFormat="false" ht="15" hidden="false" customHeight="false" outlineLevel="0" collapsed="false">
      <c r="A23" s="9" t="s">
        <v>219</v>
      </c>
      <c r="B23" s="9" t="s">
        <v>30</v>
      </c>
      <c r="C23" s="9" t="s">
        <v>220</v>
      </c>
      <c r="D23" s="9" t="s">
        <v>187</v>
      </c>
      <c r="E23" s="9" t="s">
        <v>196</v>
      </c>
      <c r="F23" s="18" t="n">
        <v>152000</v>
      </c>
      <c r="G23" s="9" t="s">
        <v>221</v>
      </c>
      <c r="H23" s="9" t="s">
        <v>222</v>
      </c>
    </row>
    <row r="24" customFormat="false" ht="15" hidden="false" customHeight="false" outlineLevel="0" collapsed="false">
      <c r="A24" s="9" t="s">
        <v>223</v>
      </c>
      <c r="B24" s="9" t="s">
        <v>29</v>
      </c>
      <c r="C24" s="9" t="s">
        <v>224</v>
      </c>
      <c r="D24" s="9" t="s">
        <v>225</v>
      </c>
      <c r="E24" s="9" t="s">
        <v>226</v>
      </c>
      <c r="F24" s="18" t="n">
        <v>149000</v>
      </c>
      <c r="G24" s="9" t="s">
        <v>184</v>
      </c>
      <c r="H24" s="9" t="s">
        <v>227</v>
      </c>
    </row>
    <row r="25" customFormat="false" ht="15" hidden="false" customHeight="false" outlineLevel="0" collapsed="false">
      <c r="A25" s="9" t="s">
        <v>228</v>
      </c>
      <c r="B25" s="9" t="s">
        <v>31</v>
      </c>
      <c r="C25" s="9" t="s">
        <v>229</v>
      </c>
      <c r="D25" s="9" t="s">
        <v>210</v>
      </c>
      <c r="E25" s="9" t="s">
        <v>203</v>
      </c>
      <c r="F25" s="18" t="n">
        <v>141000</v>
      </c>
      <c r="G25" s="9" t="s">
        <v>184</v>
      </c>
      <c r="H25" s="9" t="s">
        <v>204</v>
      </c>
    </row>
    <row r="26" customFormat="false" ht="15" hidden="false" customHeight="false" outlineLevel="0" collapsed="false">
      <c r="A26" s="9" t="s">
        <v>230</v>
      </c>
      <c r="B26" s="9" t="s">
        <v>29</v>
      </c>
      <c r="C26" s="9" t="s">
        <v>231</v>
      </c>
      <c r="D26" s="9" t="s">
        <v>187</v>
      </c>
      <c r="E26" s="9" t="s">
        <v>188</v>
      </c>
      <c r="F26" s="18" t="n">
        <v>138000</v>
      </c>
      <c r="G26" s="9" t="s">
        <v>184</v>
      </c>
      <c r="H26" s="9"/>
    </row>
    <row r="27" customFormat="false" ht="15" hidden="false" customHeight="false" outlineLevel="0" collapsed="false">
      <c r="A27" s="9" t="s">
        <v>232</v>
      </c>
      <c r="B27" s="9" t="s">
        <v>32</v>
      </c>
      <c r="C27" s="9" t="s">
        <v>200</v>
      </c>
      <c r="D27" s="9" t="s">
        <v>182</v>
      </c>
      <c r="E27" s="9" t="s">
        <v>233</v>
      </c>
      <c r="F27" s="18" t="n">
        <v>131000</v>
      </c>
      <c r="G27" s="9" t="s">
        <v>184</v>
      </c>
      <c r="H27" s="9"/>
    </row>
  </sheetData>
  <mergeCells count="3">
    <mergeCell ref="A1:H1"/>
    <mergeCell ref="A2:H2"/>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2026-10-20T06:03:06Z</dcterms:created>
  <dc:creator>openpyxl</dc:creator>
  <dc:description/>
  <dc:language>en-US</dc:language>
  <cp:lastModifiedBy/>
  <dcterms:modified xsi:type="dcterms:W3CDTF">2026-10-20T06:03:06Z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