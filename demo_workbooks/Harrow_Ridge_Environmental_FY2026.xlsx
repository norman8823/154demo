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agement Discussion" sheetId="1" state="visible" r:id="rId3"/>
    <sheet name="P&amp;L Summary" sheetId="2" state="visible" r:id="rId4"/>
    <sheet name="Monthly P&amp;L" sheetId="3" state="visible" r:id="rId5"/>
    <sheet name="Cash Flow &amp; Capex" sheetId="4" state="visible" r:id="rId6"/>
    <sheet name="Balance Sheet" sheetId="5" state="visible" r:id="rId7"/>
    <sheet name="Segment Results" sheetId="6" state="visible" r:id="rId8"/>
    <sheet name="Operating KPIs" sheetId="7" state="visible" r:id="rId9"/>
    <sheet name="Fleet Register" sheetId="8" state="visible" r:id="rId10"/>
    <sheet name="Customers &amp; Contracts" sheetId="9" state="visible" r:id="rId11"/>
    <sheet name="Adjusted EBITD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<sst xmlns="http://schemas.openxmlformats.org/spreadsheetml/2006/main" count="518" uniqueCount="323">
  <si>
    <t xml:space="preserve">HARROW RIDGE ENVIRONMENTAL SERVICES</t>
  </si>
  <si>
    <t xml:space="preserve">Management Discussion: Fiscal Year Ended September 30, 2026</t>
  </si>
  <si>
    <t xml:space="preserve">Synthetic test data. Fictional company; not based on any real business.</t>
  </si>
  <si>
    <t xml:space="preserve">Results</t>
  </si>
  <si>
    <t xml:space="preserve">Fiscal 2026 revenue was $46.6 million and EBITDA was $9.7 million. Adjusted EBITDA, which normalizes recycling commodity prices and excludes temporary South fleet transition costs, was $11.5 million. Price increases implemented in January were realized broadly across our territories, and cost inflation was largely offset by pricing.</t>
  </si>
  <si>
    <t xml:space="preserve">Cash generation</t>
  </si>
  <si>
    <t xml:space="preserve">The business continues to convert earnings to cash efficiently. Free cash flow was $6.7 million, a 69% conversion rate, and capital spending has normalized following the fleet investments of prior years.</t>
  </si>
  <si>
    <t xml:space="preserve">Fleet</t>
  </si>
  <si>
    <t xml:space="preserve">Our fleet of 152 trucks in service is in good condition. South has experienced higher-than-normal maintenance activity, which we are addressing with temporary rental units; we expect South to return to normal operations in the first half of fiscal 2027.</t>
  </si>
  <si>
    <t xml:space="preserve">Territories</t>
  </si>
  <si>
    <t xml:space="preserve">North delivered an excellent year, with route density gains from the new routing software and $1.2 million of annualized new contract wins. East margins were affected in the fourth quarter by a disposal rate change at a third-party landfill, which we expect to recover through pricing. South continues to improve.</t>
  </si>
  <si>
    <t xml:space="preserve">Customers</t>
  </si>
  <si>
    <t xml:space="preserve">Customer retention remains strong, and we do not have significant contract renewals in the coming year. Our largest relationships are long-standing and stable.</t>
  </si>
  <si>
    <t xml:space="preserve">Outlook</t>
  </si>
  <si>
    <t xml:space="preserve">We expect fiscal 2027 Adjusted EBITDA growth in the high single digits, driven by pricing, North route density and the recovery of recycling commodity prices toward historical levels.</t>
  </si>
  <si>
    <t xml:space="preserve">Chief Executive Officer and Chief Financial Officer</t>
  </si>
  <si>
    <t xml:space="preserve">Income Statement Summary, Fiscal Year Ended September 30, 2026</t>
  </si>
  <si>
    <t xml:space="preserve">$ in thousands</t>
  </si>
  <si>
    <t xml:space="preserve">Accrual basis, US GAAP, unaudited management accounts. Finance leases recognized under ASC 842.  Synthetic test data. Fictional company; not based on any real business.</t>
  </si>
  <si>
    <t xml:space="preserve">Q1 FY26 (Oct-Dec)</t>
  </si>
  <si>
    <t xml:space="preserve">Q2 FY26 (Jan-Mar)</t>
  </si>
  <si>
    <t xml:space="preserve">Q3 FY26 (Apr-Jun)</t>
  </si>
  <si>
    <t xml:space="preserve">Q4 FY26 (Jul-Sep)</t>
  </si>
  <si>
    <t xml:space="preserve">FY2026 Actual</t>
  </si>
  <si>
    <t xml:space="preserve">FY2026 Budget</t>
  </si>
  <si>
    <t xml:space="preserve">Variance $</t>
  </si>
  <si>
    <t xml:space="preserve">Variance %</t>
  </si>
  <si>
    <t xml:space="preserve">FY2025 Actual</t>
  </si>
  <si>
    <t xml:space="preserve">Revenue</t>
  </si>
  <si>
    <t xml:space="preserve">Commercial Front-Load Collection</t>
  </si>
  <si>
    <t xml:space="preserve">Roll-Off &amp; Industrial Collection</t>
  </si>
  <si>
    <t xml:space="preserve">Fuel Surcharge &amp; Environmental Fees</t>
  </si>
  <si>
    <t xml:space="preserve">Recycling Commodity Sales</t>
  </si>
  <si>
    <t xml:space="preserve">Processing &amp; Other Revenue</t>
  </si>
  <si>
    <t xml:space="preserve">Total Revenue</t>
  </si>
  <si>
    <t xml:space="preserve">Cost of Operations</t>
  </si>
  <si>
    <t xml:space="preserve">Driver &amp; Helper Labor</t>
  </si>
  <si>
    <t xml:space="preserve">Disposal &amp; Tipping Fees</t>
  </si>
  <si>
    <t xml:space="preserve">Fuel</t>
  </si>
  <si>
    <t xml:space="preserve">Fleet Maintenance &amp; Repairs</t>
  </si>
  <si>
    <t xml:space="preserve">Short-Term Truck Rental</t>
  </si>
  <si>
    <t xml:space="preserve">Container Repair &amp; Delivery</t>
  </si>
  <si>
    <t xml:space="preserve">Recycling Facility Operations</t>
  </si>
  <si>
    <t xml:space="preserve">Insurance &amp; Claims</t>
  </si>
  <si>
    <t xml:space="preserve">Total Cost of Operations</t>
  </si>
  <si>
    <t xml:space="preserve">Gross Profit</t>
  </si>
  <si>
    <t xml:space="preserve">Selling, General &amp; Administrative</t>
  </si>
  <si>
    <t xml:space="preserve">Sales &amp; Customer Service</t>
  </si>
  <si>
    <t xml:space="preserve">G&amp;A Salaries &amp; Benefits</t>
  </si>
  <si>
    <t xml:space="preserve">IT &amp; Routing Software</t>
  </si>
  <si>
    <t xml:space="preserve">Professional Fees</t>
  </si>
  <si>
    <t xml:space="preserve">Rent &amp; Facilities</t>
  </si>
  <si>
    <t xml:space="preserve">Sponsor Management Fee</t>
  </si>
  <si>
    <t xml:space="preserve">Other SG&amp;A</t>
  </si>
  <si>
    <t xml:space="preserve">Total SG&amp;A</t>
  </si>
  <si>
    <t xml:space="preserve">EBITDA</t>
  </si>
  <si>
    <t xml:space="preserve">EBITDA Margin</t>
  </si>
  <si>
    <t xml:space="preserve">Below EBITDA</t>
  </si>
  <si>
    <t xml:space="preserve">Depreciation (Owned Fleet &amp; Equipment)</t>
  </si>
  <si>
    <t xml:space="preserve">Amortization of Finance Lease Assets</t>
  </si>
  <si>
    <t xml:space="preserve">Amortization of Intangibles</t>
  </si>
  <si>
    <t xml:space="preserve">Interest Expense</t>
  </si>
  <si>
    <t xml:space="preserve">Income Taxes</t>
  </si>
  <si>
    <t xml:space="preserve">Net Income (Loss)</t>
  </si>
  <si>
    <t xml:space="preserve">Variance columns show favorable / (unfavorable) to budget.</t>
  </si>
  <si>
    <t xml:space="preserve">Monthly Income Statement: Actual, Budget and Prior Year (fiscal months)</t>
  </si>
  <si>
    <t xml:space="preserve">ACTUAL FY2026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</si>
  <si>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</si>
  <si>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</si>
  <si>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</si>
  <si>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</si>
  <si>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</si>
  <si>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</si>
  <si>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</si>
  <si>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</si>
  <si>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</si>
  <si>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</si>
  <si>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</si>
  <si>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</si>
  <si>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Full Year</t>
  </si>
  <si>
    <t xml:space="preserve">BUDGET FY2026</t>
  </si>
  <si>
    <t xml:space="preserve">PRIOR YEAR FY2025</t>
  </si>
  <si>
    <t xml:space="preserve">Oct-24</t>
  </si>
  <si>
    <t xml:space="preserve">Nov-24</t>
  </si>
  <si>
    <t xml:space="preserve">Dec-24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</si>
  <si>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</si>
  <si>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</si>
  <si>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</si>
  <si>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</si>
  <si>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</si>
  <si>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</si>
  <si>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</si>
  <si>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</si>
  <si>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</si>
  <si>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Cash Flow and Capital Expenditures, Fiscal Year 2026 (quarterly)</t>
  </si>
  <si>
    <t xml:space="preserve">Q1 FY26</t>
  </si>
  <si>
    <t xml:space="preserve">Q2 FY26</t>
  </si>
  <si>
    <t xml:space="preserve">Q3 FY26</t>
  </si>
  <si>
    <t xml:space="preserve">Q4 FY26</t>
  </si>
  <si>
    <t xml:space="preserve">FY2026</t>
  </si>
  <si>
    <t xml:space="preserve">Notes</t>
  </si>
  <si>
    <t xml:space="preserve">Operating activities</t>
  </si>
  <si>
    <t xml:space="preserve">Cash interest paid (term loan, revolver and finance leases)</t>
  </si>
  <si>
    <t xml:space="preserve">Cash taxes paid</t>
  </si>
  <si>
    <t xml:space="preserve">Change in net working capital</t>
  </si>
  <si>
    <t xml:space="preserve">Receivables, prepaid, payables and accruals; see Balance Sheet</t>
  </si>
  <si>
    <t xml:space="preserve">Cash flow from operations</t>
  </si>
  <si>
    <t xml:space="preserve">Investing activities</t>
  </si>
  <si>
    <t xml:space="preserve">Maintenance capital expenditures (cash)</t>
  </si>
  <si>
    <t xml:space="preserve">Owned trucks, containers and equipment</t>
  </si>
  <si>
    <t xml:space="preserve">Growth capital expenditures (cash)</t>
  </si>
  <si>
    <t xml:space="preserve">Containers and equipment for new contracts</t>
  </si>
  <si>
    <t xml:space="preserve">Cash flow from investing</t>
  </si>
  <si>
    <t xml:space="preserve">Financing activities</t>
  </si>
  <si>
    <t xml:space="preserve">Finance lease principal payments</t>
  </si>
  <si>
    <t xml:space="preserve">Term loan amortization</t>
  </si>
  <si>
    <t xml:space="preserve">Revolver draws / (repayments), net</t>
  </si>
  <si>
    <t xml:space="preserve">Cash flow from financing</t>
  </si>
  <si>
    <t xml:space="preserve">Net change in cash</t>
  </si>
  <si>
    <t xml:space="preserve">Beginning cash</t>
  </si>
  <si>
    <t xml:space="preserve">Ending cash</t>
  </si>
  <si>
    <t xml:space="preserve">Supplemental: non-cash investing</t>
  </si>
  <si>
    <t xml:space="preserve">Collection trucks acquired under new finance leases</t>
  </si>
  <si>
    <t xml:space="preserve">Non-cash; added to finance lease assets and liabilities</t>
  </si>
  <si>
    <t xml:space="preserve">Management free cash flow</t>
  </si>
  <si>
    <t xml:space="preserve">Less: capital expenditures (cash)</t>
  </si>
  <si>
    <t xml:space="preserve">Free cash flow (management definition)</t>
  </si>
  <si>
    <t xml:space="preserve">Free cash flow conversion (FCF / EBITDA)</t>
  </si>
  <si>
    <t xml:space="preserve">Balance Sheet, Fiscal Quarter-Ends</t>
  </si>
  <si>
    <t xml:space="preserve">Sep 30, 2025</t>
  </si>
  <si>
    <t xml:space="preserve">Dec 31, 2025</t>
  </si>
  <si>
    <t xml:space="preserve">Mar 31, 2026</t>
  </si>
  <si>
    <t xml:space="preserve">Jun 30, 2026</t>
  </si>
  <si>
    <t xml:space="preserve">Sep 30, 2026</t>
  </si>
  <si>
    <t xml:space="preserve">Assets</t>
  </si>
  <si>
    <t xml:space="preserve">Cash</t>
  </si>
  <si>
    <t xml:space="preserve">Accounts receivable, net</t>
  </si>
  <si>
    <t xml:space="preserve">Prepaid expenses &amp; other</t>
  </si>
  <si>
    <t xml:space="preserve">Property &amp; equipment, net (owned)</t>
  </si>
  <si>
    <t xml:space="preserve">Finance lease right-of-use assets, net</t>
  </si>
  <si>
    <t xml:space="preserve">Goodwill &amp; intangible assets, net</t>
  </si>
  <si>
    <t xml:space="preserve">Total assets</t>
  </si>
  <si>
    <t xml:space="preserve">Liabilities &amp; equity</t>
  </si>
  <si>
    <t xml:space="preserve">Accounts payable</t>
  </si>
  <si>
    <t xml:space="preserve">Accrued liabilities</t>
  </si>
  <si>
    <t xml:space="preserve">Revolving credit facility</t>
  </si>
  <si>
    <t xml:space="preserve">Term loan</t>
  </si>
  <si>
    <t xml:space="preserve">Finance lease liabilities</t>
  </si>
  <si>
    <t xml:space="preserve">Total liabilities</t>
  </si>
  <si>
    <t xml:space="preserve">Members' equity</t>
  </si>
  <si>
    <t xml:space="preserve">Total liabilities &amp; equity</t>
  </si>
  <si>
    <t xml:space="preserve">Total debt incl. finance leases</t>
  </si>
  <si>
    <t xml:space="preserve">Segment Results, Fiscal Year 2026</t>
  </si>
  <si>
    <t xml:space="preserve">North</t>
  </si>
  <si>
    <t xml:space="preserve">South</t>
  </si>
  <si>
    <t xml:space="preserve">East</t>
  </si>
  <si>
    <t xml:space="preserve">Recycling</t>
  </si>
  <si>
    <t xml:space="preserve">Corporate &amp; Other</t>
  </si>
  <si>
    <t xml:space="preserve">Consolidated</t>
  </si>
  <si>
    <t xml:space="preserve">Corporate &amp; other: container rental and miscellaneous fees</t>
  </si>
  <si>
    <t xml:space="preserve">  Labor</t>
  </si>
  <si>
    <t xml:space="preserve">  Disposal</t>
  </si>
  <si>
    <t xml:space="preserve">  Fuel</t>
  </si>
  <si>
    <t xml:space="preserve">  Fleet maintenance &amp; rental</t>
  </si>
  <si>
    <t xml:space="preserve">  Facility operations</t>
  </si>
  <si>
    <t xml:space="preserve">  Containers, insurance &amp; sales</t>
  </si>
  <si>
    <t xml:space="preserve">Segment operating costs</t>
  </si>
  <si>
    <t xml:space="preserve">Corporate SG&amp;A</t>
  </si>
  <si>
    <t xml:space="preserve">Segment EBITDA</t>
  </si>
  <si>
    <t xml:space="preserve">EBITDA margin</t>
  </si>
  <si>
    <t xml:space="preserve">Revenue (budget)</t>
  </si>
  <si>
    <t xml:space="preserve">Segment operating costs (budget)</t>
  </si>
  <si>
    <t xml:space="preserve">Segment EBITDA before corporate (budget)</t>
  </si>
  <si>
    <t xml:space="preserve">Segment EBITDA before corporate (actual)</t>
  </si>
  <si>
    <t xml:space="preserve">Variance to budget</t>
  </si>
  <si>
    <t xml:space="preserve">Q4 FY2026 (Jul-Sep) Actual</t>
  </si>
  <si>
    <t xml:space="preserve">Q4 revenue</t>
  </si>
  <si>
    <t xml:space="preserve">Q4 segment operating costs</t>
  </si>
  <si>
    <t xml:space="preserve">Q4 EBITDA margin before corporate</t>
  </si>
  <si>
    <t xml:space="preserve">Q3 revenue</t>
  </si>
  <si>
    <t xml:space="preserve">Q3 segment operating costs</t>
  </si>
  <si>
    <t xml:space="preserve">Q3 EBITDA margin before corporate</t>
  </si>
  <si>
    <t xml:space="preserve">FY2026 capital deployed by segment (cash capex + new finance leases)</t>
  </si>
  <si>
    <t xml:space="preserve">Capital deployed</t>
  </si>
  <si>
    <t xml:space="preserve">Totals to cash capex plus new finance leases on Cash Flow &amp; Capex</t>
  </si>
  <si>
    <t xml:space="preserve">Operating KPIs by Territory, FY2026 by Quarter</t>
  </si>
  <si>
    <t xml:space="preserve">Units as stated in each row</t>
  </si>
  <si>
    <t xml:space="preserve">KPI</t>
  </si>
  <si>
    <t xml:space="preserve">Unit</t>
  </si>
  <si>
    <t xml:space="preserve">North Q1</t>
  </si>
  <si>
    <t xml:space="preserve">North Q2</t>
  </si>
  <si>
    <t xml:space="preserve">North Q3</t>
  </si>
  <si>
    <t xml:space="preserve">North Q4</t>
  </si>
  <si>
    <t xml:space="preserve">South Q1</t>
  </si>
  <si>
    <t xml:space="preserve">South Q2</t>
  </si>
  <si>
    <t xml:space="preserve">South Q3</t>
  </si>
  <si>
    <t xml:space="preserve">South Q4</t>
  </si>
  <si>
    <t xml:space="preserve">East Q1</t>
  </si>
  <si>
    <t xml:space="preserve">East Q2</t>
  </si>
  <si>
    <t xml:space="preserve">East Q3</t>
  </si>
  <si>
    <t xml:space="preserve">East Q4</t>
  </si>
  <si>
    <t xml:space="preserve">Collection productivity</t>
  </si>
  <si>
    <t xml:space="preserve">Collection revenue (excl. fuel surcharge)</t>
  </si>
  <si>
    <t xml:space="preserve">$000</t>
  </si>
  <si>
    <t xml:space="preserve">Active routes</t>
  </si>
  <si>
    <t xml:space="preserve">#</t>
  </si>
  <si>
    <t xml:space="preserve">Route-days operated</t>
  </si>
  <si>
    <t xml:space="preserve">Revenue per route-day</t>
  </si>
  <si>
    <t xml:space="preserve">$</t>
  </si>
  <si>
    <t xml:space="preserve">Tons collected</t>
  </si>
  <si>
    <t xml:space="preserve">tons</t>
  </si>
  <si>
    <t xml:space="preserve">Disposal and fuel</t>
  </si>
  <si>
    <t xml:space="preserve">Disposal cost</t>
  </si>
  <si>
    <t xml:space="preserve">Disposal cost per ton</t>
  </si>
  <si>
    <t xml:space="preserve">Fuel cost</t>
  </si>
  <si>
    <t xml:space="preserve">Fuel surcharge revenue</t>
  </si>
  <si>
    <t xml:space="preserve">Fuel cost recovery (surcharge / fuel cost)</t>
  </si>
  <si>
    <t xml:space="preserve">%</t>
  </si>
  <si>
    <t xml:space="preserve">Trucks in service (quarter-end)</t>
  </si>
  <si>
    <t xml:space="preserve">Truck downtime (% of scheduled days)</t>
  </si>
  <si>
    <t xml:space="preserve">Fleet maintenance cost per truck in service, monthly avg</t>
  </si>
  <si>
    <t xml:space="preserve">Short-term truck rental</t>
  </si>
  <si>
    <t xml:space="preserve">Average fleet age (quarter-end)</t>
  </si>
  <si>
    <t xml:space="preserve">years</t>
  </si>
  <si>
    <t xml:space="preserve">Customers (quarter-end)</t>
  </si>
  <si>
    <t xml:space="preserve">Customer churn, annualized</t>
  </si>
  <si>
    <t xml:space="preserve">Average price change on contracts renewed in quarter</t>
  </si>
  <si>
    <t xml:space="preserve">Recycling facility (single site)</t>
  </si>
  <si>
    <t xml:space="preserve">Tons processed</t>
  </si>
  <si>
    <t xml:space="preserve">Average commodity price received</t>
  </si>
  <si>
    <t xml:space="preserve">$/ton</t>
  </si>
  <si>
    <t xml:space="preserve">Residue rate (landfilled share of inbound)</t>
  </si>
  <si>
    <t xml:space="preserve">Recycling KPIs shown in columns C to F (Q1 to Q4).</t>
  </si>
  <si>
    <t xml:space="preserve">Company productivity</t>
  </si>
  <si>
    <t xml:space="preserve">Trucks in service, company (Sep 30, 2026)</t>
  </si>
  <si>
    <t xml:space="preserve">Territory trucks in service plus 12 recycling-site units</t>
  </si>
  <si>
    <t xml:space="preserve">Revenue per truck in service, FY2026</t>
  </si>
  <si>
    <t xml:space="preserve">$000 per truck</t>
  </si>
  <si>
    <t xml:space="preserve">Fleet Register Summary, September 30, 2026</t>
  </si>
  <si>
    <t xml:space="preserve">Unit counts</t>
  </si>
  <si>
    <t xml:space="preserve">Territory / site</t>
  </si>
  <si>
    <t xml:space="preserve">Front-load</t>
  </si>
  <si>
    <t xml:space="preserve">Roll-off</t>
  </si>
  <si>
    <t xml:space="preserve">Rear-load &amp; other</t>
  </si>
  <si>
    <t xml:space="preserve">Total units</t>
  </si>
  <si>
    <t xml:space="preserve">In service</t>
  </si>
  <si>
    <t xml:space="preserve">Out of service</t>
  </si>
  <si>
    <t xml:space="preserve">Finance-leased</t>
  </si>
  <si>
    <t xml:space="preserve">Owned</t>
  </si>
  <si>
    <t xml:space="preserve">Recycling site</t>
  </si>
  <si>
    <t xml:space="preserve">Total fleet</t>
  </si>
  <si>
    <t xml:space="preserve">Out-of-service detail (South)</t>
  </si>
  <si>
    <t xml:space="preserve">7 front-load units awaiting engine or transmission rebuild (average 11 weeks out of service)</t>
  </si>
  <si>
    <t xml:space="preserve">5 roll-off units retired from routes, pending disposal decision; still on the depreciation schedule</t>
  </si>
  <si>
    <t xml:space="preserve">Short-term rental units deployed to cover South routes since March 2026</t>
  </si>
  <si>
    <t xml:space="preserve">Age profile of collection trucks (units)</t>
  </si>
  <si>
    <t xml:space="preserve">Territory</t>
  </si>
  <si>
    <t xml:space="preserve">0-4 years</t>
  </si>
  <si>
    <t xml:space="preserve">5-8 years</t>
  </si>
  <si>
    <t xml:space="preserve">9-12 years</t>
  </si>
  <si>
    <t xml:space="preserve">13+ years</t>
  </si>
  <si>
    <t xml:space="preserve">Total</t>
  </si>
  <si>
    <t xml:space="preserve">Average age (years)</t>
  </si>
  <si>
    <t xml:space="preserve">Planned replacement cycle: 9 years for front-load and rear-load, 10 years for roll-off. Average replacement cost per collection truck: $345,000.</t>
  </si>
  <si>
    <t xml:space="preserve">Largest Customer Relationships and Contract Renewals</t>
  </si>
  <si>
    <t xml:space="preserve">Customer</t>
  </si>
  <si>
    <t xml:space="preserve">Service</t>
  </si>
  <si>
    <t xml:space="preserve">FY2026 revenue ($000)</t>
  </si>
  <si>
    <t xml:space="preserve">% of total revenue</t>
  </si>
  <si>
    <t xml:space="preserve">Contract end</t>
  </si>
  <si>
    <t xml:space="preserve">Escalator</t>
  </si>
  <si>
    <t xml:space="preserve">Renewal status</t>
  </si>
  <si>
    <t xml:space="preserve">National Account 01 (grocery chain, 38 sites)</t>
  </si>
  <si>
    <t xml:space="preserve">North / East</t>
  </si>
  <si>
    <t xml:space="preserve">Front-load, compactors</t>
  </si>
  <si>
    <t xml:space="preserve">Dec 31, 2026</t>
  </si>
  <si>
    <t xml:space="preserve">CPI, capped 3%</t>
  </si>
  <si>
    <t xml:space="preserve">RFP issued Aug-26; incumbent bid submitted at 8% below current pricing</t>
  </si>
  <si>
    <t xml:space="preserve">Regional Hospital System A</t>
  </si>
  <si>
    <t xml:space="preserve">Front-load, medical-adjacent</t>
  </si>
  <si>
    <t xml:space="preserve">Jun 30, 2028</t>
  </si>
  <si>
    <t xml:space="preserve">Fixed 4%</t>
  </si>
  <si>
    <t xml:space="preserve">Long-term contract</t>
  </si>
  <si>
    <t xml:space="preserve">Distribution Park Owner B</t>
  </si>
  <si>
    <t xml:space="preserve">Roll-off, compactors</t>
  </si>
  <si>
    <t xml:space="preserve">Mar 31, 2027</t>
  </si>
  <si>
    <t xml:space="preserve">Renewal discussions not started</t>
  </si>
  <si>
    <t xml:space="preserve">University Campus C</t>
  </si>
  <si>
    <t xml:space="preserve">Front-load, recycling</t>
  </si>
  <si>
    <t xml:space="preserve">Aug 31, 2029</t>
  </si>
  <si>
    <t xml:space="preserve">CPI</t>
  </si>
  <si>
    <t xml:space="preserve">Renewed Aug-26 at +3.5%</t>
  </si>
  <si>
    <t xml:space="preserve">Property Manager D (42 buildings)</t>
  </si>
  <si>
    <t xml:space="preserve">Sep 30, 2027</t>
  </si>
  <si>
    <t xml:space="preserve">Fixed 5%</t>
  </si>
  <si>
    <t xml:space="preserve">Food Processor E</t>
  </si>
  <si>
    <t xml:space="preserve">Roll-off, organics</t>
  </si>
  <si>
    <t xml:space="preserve">Dec 31, 2027</t>
  </si>
  <si>
    <t xml:space="preserve">Municipal Facilities F</t>
  </si>
  <si>
    <t xml:space="preserve">Jun 30, 2027</t>
  </si>
  <si>
    <t xml:space="preserve">Hotel Group G</t>
  </si>
  <si>
    <t xml:space="preserve">Apr 30, 2028</t>
  </si>
  <si>
    <t xml:space="preserve">Won Apr-26 (new)</t>
  </si>
  <si>
    <t xml:space="preserve">Industrial Park H</t>
  </si>
  <si>
    <t xml:space="preserve">Mar 31, 2028</t>
  </si>
  <si>
    <t xml:space="preserve">Won Feb-26 (new)</t>
  </si>
  <si>
    <t xml:space="preserve">Retail Center Owner I</t>
  </si>
  <si>
    <t xml:space="preserve">Nov 30, 2026</t>
  </si>
  <si>
    <t xml:space="preserve">Customer requested proposal from competitor</t>
  </si>
  <si>
    <t xml:space="preserve">New contract wins, FY2026 (annualized revenue, $000)</t>
  </si>
  <si>
    <t xml:space="preserve">Adjusted EBITDA, Fiscal Year 2026</t>
  </si>
  <si>
    <t xml:space="preserve">Item</t>
  </si>
  <si>
    <t xml:space="preserve">Basis</t>
  </si>
  <si>
    <t xml:space="preserve">EBITDA, as reported</t>
  </si>
  <si>
    <t xml:space="preserve">P&amp;L Summary</t>
  </si>
  <si>
    <t xml:space="preserve">Sponsor management fee</t>
  </si>
  <si>
    <t xml:space="preserve">Contractual; non-operating</t>
  </si>
  <si>
    <t xml:space="preserve">Recycling commodity price normalization</t>
  </si>
  <si>
    <t xml:space="preserve">Restates FY2026 recycling tons (28,800) at the three-year average price of $118/ton</t>
  </si>
  <si>
    <t xml:space="preserve">South fleet transition costs (truck rental)</t>
  </si>
  <si>
    <t xml:space="preserve">Temporary rental while South fleet is refreshed</t>
  </si>
  <si>
    <t xml:space="preserve">Adjusted EBITDA</t>
  </si>
  <si>
    <t xml:space="preserve">Adjusted EBITDA margin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</si>
</sst>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;\(0.0%\);\-"/>
    <numFmt numFmtId="167" formatCode="#,##0"/>
    <numFmt numFmtId="168" formatCode="\$#,##0"/>
    <numFmt numFmtId="169" formatCode="\$#,##0.00"/>
    <numFmt numFmtId="170" formatCode="0.0"/>
    <numFmt numFmtId="171" formatCode="#,##0.0;\(#,##0.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4D3A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0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color rgb="FF006100"/>
      <name val="Calibri"/>
      <family val="0"/>
      <charset val="1"/>
    </font>
    <font>
      <b val="true"/>
      <sz val="10"/>
      <color rgb="FF006100"/>
      <name val="Calibri"/>
      <family val="0"/>
      <charset val="1"/>
    </font>
    <font>
      <sz val="10"/>
      <color rgb="FF203864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4D3A"/>
        <bgColor rgb="FF203864"/>
      </patternFill>
    </fill>
    <fill>
      <patternFill patternType="solid">
        <fgColor rgb="FFDCE9E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9E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1E4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8.6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2" t="s">
        <v>3</v>
      </c>
    </row>
    <row r="6" customFormat="false" ht="35.0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/>
    </row>
    <row r="8" customFormat="false" ht="15" hidden="false" customHeight="false" outlineLevel="0" collapsed="false">
      <c r="A8" s="2" t="s">
        <v>5</v>
      </c>
    </row>
    <row r="9" customFormat="false" ht="23.8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2" t="s">
        <v>7</v>
      </c>
    </row>
    <row r="12" customFormat="false" ht="23.8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2" t="s">
        <v>9</v>
      </c>
    </row>
    <row r="15" customFormat="false" ht="23.85" hidden="false" customHeight="false" outlineLevel="0" collapsed="false">
      <c r="A15" s="4" t="s">
        <v>10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2" t="s">
        <v>11</v>
      </c>
    </row>
    <row r="18" customFormat="false" ht="15" hidden="false" customHeight="false" outlineLevel="0" collapsed="false">
      <c r="A18" s="4" t="s">
        <v>12</v>
      </c>
    </row>
    <row r="19" customFormat="false" ht="15" hidden="false" customHeight="false" outlineLevel="0" collapsed="false">
      <c r="A19" s="4"/>
    </row>
    <row r="20" customFormat="false" ht="15" hidden="false" customHeight="false" outlineLevel="0" collapsed="false">
      <c r="A20" s="2" t="s">
        <v>13</v>
      </c>
    </row>
    <row r="21" customFormat="false" ht="23.85" hidden="false" customHeight="false" outlineLevel="0" collapsed="false">
      <c r="A21" s="4" t="s">
        <v>14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2" style="0" width="12.5"/>
  </cols>
  <sheetData>
    <row r="1" customFormat="false" ht="17.3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15" hidden="false" customHeight="false" outlineLevel="0" collapsed="false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A3" s="7" t="s">
        <v>17</v>
      </c>
      <c r="B3" s="7"/>
      <c r="C3" s="7"/>
      <c r="D3" s="7"/>
      <c r="E3" s="7"/>
      <c r="F3" s="7"/>
      <c r="G3" s="7"/>
      <c r="H3" s="7"/>
      <c r="I3" s="7"/>
      <c r="J3" s="7"/>
    </row>
    <row r="4" customFormat="false" ht="15" hidden="false" customHeight="false" outlineLevel="0" collapsed="false">
      <c r="A4" s="8" t="s">
        <v>18</v>
      </c>
      <c r="B4" s="8"/>
      <c r="C4" s="8"/>
      <c r="D4" s="8"/>
      <c r="E4" s="8"/>
      <c r="F4" s="8"/>
      <c r="G4" s="8"/>
      <c r="H4" s="8"/>
      <c r="I4" s="8"/>
      <c r="J4" s="8"/>
    </row>
    <row r="6" customFormat="false" ht="30" hidden="false" customHeight="true" outlineLevel="0" collapsed="false">
      <c r="A6" s="9"/>
      <c r="B6" s="9" t="s">
        <v>19</v>
      </c>
      <c r="C6" s="9" t="s">
        <v>20</v>
      </c>
      <c r="D6" s="9" t="s">
        <v>21</v>
      </c>
      <c r="E6" s="9" t="s">
        <v>22</v>
      </c>
      <c r="F6" s="9" t="s">
        <v>23</v>
      </c>
      <c r="G6" s="9" t="s">
        <v>24</v>
      </c>
      <c r="H6" s="9" t="s">
        <v>25</v>
      </c>
      <c r="I6" s="9" t="s">
        <v>26</v>
      </c>
      <c r="J6" s="9" t="s">
        <v>27</v>
      </c>
    </row>
    <row r="7" customFormat="false" ht="15" hidden="false" customHeight="false" outlineLevel="0" collapsed="false">
      <c r="A7" s="10" t="s">
        <v>28</v>
      </c>
      <c r="B7" s="11"/>
      <c r="C7" s="11"/>
      <c r="D7" s="11"/>
      <c r="E7" s="11"/>
      <c r="F7" s="11"/>
      <c r="G7" s="11"/>
      <c r="H7" s="11"/>
      <c r="I7" s="11"/>
      <c r="J7" s="11"/>
    </row>
    <row r="8" customFormat="false" ht="15" hidden="false" customHeight="false" outlineLevel="0" collapsed="false">
      <c r="A8" s="12" t="s">
        <v>29</v>
      </c>
      <c r="B8" s="13" t="n">
        <f aca="false">SUM('Monthly P&amp;L'!B8:D8)</f>
        <v>6355</v>
      </c>
      <c r="C8" s="13" t="n">
        <f aca="false">SUM('Monthly P&amp;L'!E8:G8)</f>
        <v>6571</v>
      </c>
      <c r="D8" s="13" t="n">
        <f aca="false">SUM('Monthly P&amp;L'!H8:J8)</f>
        <v>6908</v>
      </c>
      <c r="E8" s="13" t="n">
        <f aca="false">SUM('Monthly P&amp;L'!K8:M8)</f>
        <v>6998</v>
      </c>
      <c r="F8" s="14" t="n">
        <f aca="false">SUM(B8:E8)</f>
        <v>26832</v>
      </c>
      <c r="G8" s="13" t="n">
        <f aca="false">'Monthly P&amp;L'!N46</f>
        <v>26777</v>
      </c>
      <c r="H8" s="15" t="n">
        <f aca="false">F8-G8</f>
        <v>55</v>
      </c>
      <c r="I8" s="16" t="n">
        <f aca="false">IF(G8=0,0,H8/ABS(G8))</f>
        <v>0.00205400156851029</v>
      </c>
      <c r="J8" s="13" t="n">
        <f aca="false">'Monthly P&amp;L'!N84</f>
        <v>24811</v>
      </c>
    </row>
    <row r="9" customFormat="false" ht="15" hidden="false" customHeight="false" outlineLevel="0" collapsed="false">
      <c r="A9" s="12" t="s">
        <v>30</v>
      </c>
      <c r="B9" s="13" t="n">
        <f aca="false">SUM('Monthly P&amp;L'!B9:D9)</f>
        <v>2788</v>
      </c>
      <c r="C9" s="13" t="n">
        <f aca="false">SUM('Monthly P&amp;L'!E9:G9)</f>
        <v>2673</v>
      </c>
      <c r="D9" s="13" t="n">
        <f aca="false">SUM('Monthly P&amp;L'!H9:J9)</f>
        <v>3445</v>
      </c>
      <c r="E9" s="13" t="n">
        <f aca="false">SUM('Monthly P&amp;L'!K9:M9)</f>
        <v>3465</v>
      </c>
      <c r="F9" s="14" t="n">
        <f aca="false">SUM(B9:E9)</f>
        <v>12371</v>
      </c>
      <c r="G9" s="13" t="n">
        <f aca="false">'Monthly P&amp;L'!N47</f>
        <v>12354</v>
      </c>
      <c r="H9" s="15" t="n">
        <f aca="false">F9-G9</f>
        <v>17</v>
      </c>
      <c r="I9" s="16" t="n">
        <f aca="false">IF(G9=0,0,H9/ABS(G9))</f>
        <v>0.00137607252711672</v>
      </c>
      <c r="J9" s="13" t="n">
        <f aca="false">'Monthly P&amp;L'!N85</f>
        <v>11442</v>
      </c>
    </row>
    <row r="10" customFormat="false" ht="15" hidden="false" customHeight="false" outlineLevel="0" collapsed="false">
      <c r="A10" s="12" t="s">
        <v>31</v>
      </c>
      <c r="B10" s="13" t="n">
        <f aca="false">SUM('Monthly P&amp;L'!B10:D10)</f>
        <v>774</v>
      </c>
      <c r="C10" s="13" t="n">
        <f aca="false">SUM('Monthly P&amp;L'!E10:G10)</f>
        <v>828</v>
      </c>
      <c r="D10" s="13" t="n">
        <f aca="false">SUM('Monthly P&amp;L'!H10:J10)</f>
        <v>884</v>
      </c>
      <c r="E10" s="13" t="n">
        <f aca="false">SUM('Monthly P&amp;L'!K10:M10)</f>
        <v>918</v>
      </c>
      <c r="F10" s="14" t="n">
        <f aca="false">SUM(B10:E10)</f>
        <v>3404</v>
      </c>
      <c r="G10" s="13" t="n">
        <f aca="false">'Monthly P&amp;L'!N48</f>
        <v>3327</v>
      </c>
      <c r="H10" s="15" t="n">
        <f aca="false">F10-G10</f>
        <v>77</v>
      </c>
      <c r="I10" s="16" t="n">
        <f aca="false">IF(G10=0,0,H10/ABS(G10))</f>
        <v>0.0231439735497445</v>
      </c>
      <c r="J10" s="13" t="n">
        <f aca="false">'Monthly P&amp;L'!N86</f>
        <v>3082</v>
      </c>
    </row>
    <row r="11" customFormat="false" ht="15" hidden="false" customHeight="false" outlineLevel="0" collapsed="false">
      <c r="A11" s="12" t="s">
        <v>32</v>
      </c>
      <c r="B11" s="13" t="n">
        <f aca="false">SUM('Monthly P&amp;L'!B11:D11)</f>
        <v>823</v>
      </c>
      <c r="C11" s="13" t="n">
        <f aca="false">SUM('Monthly P&amp;L'!E11:G11)</f>
        <v>708</v>
      </c>
      <c r="D11" s="13" t="n">
        <f aca="false">SUM('Monthly P&amp;L'!H11:J11)</f>
        <v>605</v>
      </c>
      <c r="E11" s="13" t="n">
        <f aca="false">SUM('Monthly P&amp;L'!K11:M11)</f>
        <v>527</v>
      </c>
      <c r="F11" s="14" t="n">
        <f aca="false">SUM(B11:E11)</f>
        <v>2663</v>
      </c>
      <c r="G11" s="13" t="n">
        <f aca="false">'Monthly P&amp;L'!N49</f>
        <v>3168</v>
      </c>
      <c r="H11" s="15" t="n">
        <f aca="false">F11-G11</f>
        <v>-505</v>
      </c>
      <c r="I11" s="16" t="n">
        <f aca="false">IF(G11=0,0,H11/ABS(G11))</f>
        <v>-0.159406565656566</v>
      </c>
      <c r="J11" s="13" t="n">
        <f aca="false">'Monthly P&amp;L'!N87</f>
        <v>3720</v>
      </c>
    </row>
    <row r="12" customFormat="false" ht="15" hidden="false" customHeight="false" outlineLevel="0" collapsed="false">
      <c r="A12" s="12" t="s">
        <v>33</v>
      </c>
      <c r="B12" s="13" t="n">
        <f aca="false">SUM('Monthly P&amp;L'!B12:D12)</f>
        <v>345</v>
      </c>
      <c r="C12" s="13" t="n">
        <f aca="false">SUM('Monthly P&amp;L'!E12:G12)</f>
        <v>345</v>
      </c>
      <c r="D12" s="13" t="n">
        <f aca="false">SUM('Monthly P&amp;L'!H12:J12)</f>
        <v>345</v>
      </c>
      <c r="E12" s="13" t="n">
        <f aca="false">SUM('Monthly P&amp;L'!K12:M12)</f>
        <v>345</v>
      </c>
      <c r="F12" s="14" t="n">
        <f aca="false">SUM(B12:E12)</f>
        <v>1380</v>
      </c>
      <c r="G12" s="13" t="n">
        <f aca="false">'Monthly P&amp;L'!N50</f>
        <v>1380</v>
      </c>
      <c r="H12" s="15" t="n">
        <f aca="false">F12-G12</f>
        <v>0</v>
      </c>
      <c r="I12" s="16" t="n">
        <f aca="false">IF(G12=0,0,H12/ABS(G12))</f>
        <v>0</v>
      </c>
      <c r="J12" s="13" t="n">
        <f aca="false">'Monthly P&amp;L'!N88</f>
        <v>1380</v>
      </c>
    </row>
    <row r="13" customFormat="false" ht="15" hidden="false" customHeight="false" outlineLevel="0" collapsed="false">
      <c r="A13" s="17" t="s">
        <v>34</v>
      </c>
      <c r="B13" s="18" t="n">
        <f aca="false">SUM('Monthly P&amp;L'!B13:D13)</f>
        <v>11085</v>
      </c>
      <c r="C13" s="18" t="n">
        <f aca="false">SUM('Monthly P&amp;L'!E13:G13)</f>
        <v>11125</v>
      </c>
      <c r="D13" s="18" t="n">
        <f aca="false">SUM('Monthly P&amp;L'!H13:J13)</f>
        <v>12187</v>
      </c>
      <c r="E13" s="18" t="n">
        <f aca="false">SUM('Monthly P&amp;L'!K13:M13)</f>
        <v>12253</v>
      </c>
      <c r="F13" s="19" t="n">
        <f aca="false">SUM(B13:E13)</f>
        <v>46650</v>
      </c>
      <c r="G13" s="18" t="n">
        <f aca="false">'Monthly P&amp;L'!N51</f>
        <v>47006</v>
      </c>
      <c r="H13" s="19" t="n">
        <f aca="false">F13-G13</f>
        <v>-356</v>
      </c>
      <c r="I13" s="20" t="n">
        <f aca="false">IF(G13=0,0,H13/ABS(G13))</f>
        <v>-0.00757350125515892</v>
      </c>
      <c r="J13" s="18" t="n">
        <f aca="false">'Monthly P&amp;L'!N89</f>
        <v>44435</v>
      </c>
    </row>
    <row r="14" customFormat="false" ht="15" hidden="false" customHeight="false" outlineLevel="0" collapsed="false">
      <c r="A14" s="10" t="s">
        <v>35</v>
      </c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15" hidden="false" customHeight="false" outlineLevel="0" collapsed="false">
      <c r="A15" s="12" t="s">
        <v>36</v>
      </c>
      <c r="B15" s="13" t="n">
        <f aca="false">SUM('Monthly P&amp;L'!B15:D15)</f>
        <v>2265</v>
      </c>
      <c r="C15" s="13" t="n">
        <f aca="false">SUM('Monthly P&amp;L'!E15:G15)</f>
        <v>2289</v>
      </c>
      <c r="D15" s="13" t="n">
        <f aca="false">SUM('Monthly P&amp;L'!H15:J15)</f>
        <v>2578</v>
      </c>
      <c r="E15" s="13" t="n">
        <f aca="false">SUM('Monthly P&amp;L'!K15:M15)</f>
        <v>2605</v>
      </c>
      <c r="F15" s="14" t="n">
        <f aca="false">SUM(B15:E15)</f>
        <v>9737</v>
      </c>
      <c r="G15" s="13" t="n">
        <f aca="false">'Monthly P&amp;L'!N53</f>
        <v>9691</v>
      </c>
      <c r="H15" s="15" t="n">
        <f aca="false">G15-F15</f>
        <v>-46</v>
      </c>
      <c r="I15" s="16" t="n">
        <f aca="false">IF(G15=0,0,H15/ABS(G15))</f>
        <v>-0.00474667217005469</v>
      </c>
      <c r="J15" s="13" t="n">
        <f aca="false">'Monthly P&amp;L'!N91</f>
        <v>8980</v>
      </c>
    </row>
    <row r="16" customFormat="false" ht="15" hidden="false" customHeight="false" outlineLevel="0" collapsed="false">
      <c r="A16" s="12" t="s">
        <v>37</v>
      </c>
      <c r="B16" s="13" t="n">
        <f aca="false">SUM('Monthly P&amp;L'!B16:D16)</f>
        <v>2217</v>
      </c>
      <c r="C16" s="13" t="n">
        <f aca="false">SUM('Monthly P&amp;L'!E16:G16)</f>
        <v>2198</v>
      </c>
      <c r="D16" s="13" t="n">
        <f aca="false">SUM('Monthly P&amp;L'!H16:J16)</f>
        <v>2303</v>
      </c>
      <c r="E16" s="13" t="n">
        <f aca="false">SUM('Monthly P&amp;L'!K16:M16)</f>
        <v>2455</v>
      </c>
      <c r="F16" s="14" t="n">
        <f aca="false">SUM(B16:E16)</f>
        <v>9173</v>
      </c>
      <c r="G16" s="13" t="n">
        <f aca="false">'Monthly P&amp;L'!N54</f>
        <v>8995</v>
      </c>
      <c r="H16" s="15" t="n">
        <f aca="false">G16-F16</f>
        <v>-178</v>
      </c>
      <c r="I16" s="16" t="n">
        <f aca="false">IF(G16=0,0,H16/ABS(G16))</f>
        <v>-0.0197887715397443</v>
      </c>
      <c r="J16" s="13" t="n">
        <f aca="false">'Monthly P&amp;L'!N92</f>
        <v>8465</v>
      </c>
    </row>
    <row r="17" customFormat="false" ht="15" hidden="false" customHeight="false" outlineLevel="0" collapsed="false">
      <c r="A17" s="12" t="s">
        <v>38</v>
      </c>
      <c r="B17" s="13" t="n">
        <f aca="false">SUM('Monthly P&amp;L'!B17:D17)</f>
        <v>929</v>
      </c>
      <c r="C17" s="13" t="n">
        <f aca="false">SUM('Monthly P&amp;L'!E17:G17)</f>
        <v>932</v>
      </c>
      <c r="D17" s="13" t="n">
        <f aca="false">SUM('Monthly P&amp;L'!H17:J17)</f>
        <v>957</v>
      </c>
      <c r="E17" s="13" t="n">
        <f aca="false">SUM('Monthly P&amp;L'!K17:M17)</f>
        <v>1015</v>
      </c>
      <c r="F17" s="14" t="n">
        <f aca="false">SUM(B17:E17)</f>
        <v>3833</v>
      </c>
      <c r="G17" s="13" t="n">
        <f aca="false">'Monthly P&amp;L'!N55</f>
        <v>3787</v>
      </c>
      <c r="H17" s="15" t="n">
        <f aca="false">G17-F17</f>
        <v>-46</v>
      </c>
      <c r="I17" s="16" t="n">
        <f aca="false">IF(G17=0,0,H17/ABS(G17))</f>
        <v>-0.0121468180617903</v>
      </c>
      <c r="J17" s="13" t="n">
        <f aca="false">'Monthly P&amp;L'!N93</f>
        <v>3645</v>
      </c>
    </row>
    <row r="18" customFormat="false" ht="15" hidden="false" customHeight="false" outlineLevel="0" collapsed="false">
      <c r="A18" s="12" t="s">
        <v>39</v>
      </c>
      <c r="B18" s="13" t="n">
        <f aca="false">SUM('Monthly P&amp;L'!B18:D18)</f>
        <v>1007</v>
      </c>
      <c r="C18" s="13" t="n">
        <f aca="false">SUM('Monthly P&amp;L'!E18:G18)</f>
        <v>1030</v>
      </c>
      <c r="D18" s="13" t="n">
        <f aca="false">SUM('Monthly P&amp;L'!H18:J18)</f>
        <v>1027</v>
      </c>
      <c r="E18" s="13" t="n">
        <f aca="false">SUM('Monthly P&amp;L'!K18:M18)</f>
        <v>1061</v>
      </c>
      <c r="F18" s="14" t="n">
        <f aca="false">SUM(B18:E18)</f>
        <v>4125</v>
      </c>
      <c r="G18" s="13" t="n">
        <f aca="false">'Monthly P&amp;L'!N56</f>
        <v>4032</v>
      </c>
      <c r="H18" s="15" t="n">
        <f aca="false">G18-F18</f>
        <v>-93</v>
      </c>
      <c r="I18" s="16" t="n">
        <f aca="false">IF(G18=0,0,H18/ABS(G18))</f>
        <v>-0.0230654761904762</v>
      </c>
      <c r="J18" s="13" t="n">
        <f aca="false">'Monthly P&amp;L'!N94</f>
        <v>4032</v>
      </c>
    </row>
    <row r="19" customFormat="false" ht="15" hidden="false" customHeight="false" outlineLevel="0" collapsed="false">
      <c r="A19" s="12" t="s">
        <v>40</v>
      </c>
      <c r="B19" s="13" t="n">
        <f aca="false">SUM('Monthly P&amp;L'!B19:D19)</f>
        <v>0</v>
      </c>
      <c r="C19" s="13" t="n">
        <f aca="false">SUM('Monthly P&amp;L'!E19:G19)</f>
        <v>25</v>
      </c>
      <c r="D19" s="13" t="n">
        <f aca="false">SUM('Monthly P&amp;L'!H19:J19)</f>
        <v>160</v>
      </c>
      <c r="E19" s="13" t="n">
        <f aca="false">SUM('Monthly P&amp;L'!K19:M19)</f>
        <v>225</v>
      </c>
      <c r="F19" s="14" t="n">
        <f aca="false">SUM(B19:E19)</f>
        <v>410</v>
      </c>
      <c r="G19" s="13" t="n">
        <f aca="false">'Monthly P&amp;L'!N57</f>
        <v>0</v>
      </c>
      <c r="H19" s="15" t="n">
        <f aca="false">G19-F19</f>
        <v>-410</v>
      </c>
      <c r="I19" s="16" t="n">
        <f aca="false">IF(G19=0,0,H19/ABS(G19))</f>
        <v>0</v>
      </c>
      <c r="J19" s="13" t="n">
        <f aca="false">'Monthly P&amp;L'!N95</f>
        <v>0</v>
      </c>
    </row>
    <row r="20" customFormat="false" ht="15" hidden="false" customHeight="false" outlineLevel="0" collapsed="false">
      <c r="A20" s="12" t="s">
        <v>41</v>
      </c>
      <c r="B20" s="13" t="n">
        <f aca="false">SUM('Monthly P&amp;L'!B20:D20)</f>
        <v>136</v>
      </c>
      <c r="C20" s="13" t="n">
        <f aca="false">SUM('Monthly P&amp;L'!E20:G20)</f>
        <v>138</v>
      </c>
      <c r="D20" s="13" t="n">
        <f aca="false">SUM('Monthly P&amp;L'!H20:J20)</f>
        <v>155</v>
      </c>
      <c r="E20" s="13" t="n">
        <f aca="false">SUM('Monthly P&amp;L'!K20:M20)</f>
        <v>158</v>
      </c>
      <c r="F20" s="14" t="n">
        <f aca="false">SUM(B20:E20)</f>
        <v>587</v>
      </c>
      <c r="G20" s="13" t="n">
        <f aca="false">'Monthly P&amp;L'!N58</f>
        <v>585</v>
      </c>
      <c r="H20" s="15" t="n">
        <f aca="false">G20-F20</f>
        <v>-2</v>
      </c>
      <c r="I20" s="16" t="n">
        <f aca="false">IF(G20=0,0,H20/ABS(G20))</f>
        <v>-0.00341880341880342</v>
      </c>
      <c r="J20" s="13" t="n">
        <f aca="false">'Monthly P&amp;L'!N96</f>
        <v>544</v>
      </c>
    </row>
    <row r="21" customFormat="false" ht="15" hidden="false" customHeight="false" outlineLevel="0" collapsed="false">
      <c r="A21" s="12" t="s">
        <v>42</v>
      </c>
      <c r="B21" s="13" t="n">
        <f aca="false">SUM('Monthly P&amp;L'!B21:D21)</f>
        <v>597</v>
      </c>
      <c r="C21" s="13" t="n">
        <f aca="false">SUM('Monthly P&amp;L'!E21:G21)</f>
        <v>597</v>
      </c>
      <c r="D21" s="13" t="n">
        <f aca="false">SUM('Monthly P&amp;L'!H21:J21)</f>
        <v>597</v>
      </c>
      <c r="E21" s="13" t="n">
        <f aca="false">SUM('Monthly P&amp;L'!K21:M21)</f>
        <v>597</v>
      </c>
      <c r="F21" s="14" t="n">
        <f aca="false">SUM(B21:E21)</f>
        <v>2388</v>
      </c>
      <c r="G21" s="13" t="n">
        <f aca="false">'Monthly P&amp;L'!N59</f>
        <v>2340</v>
      </c>
      <c r="H21" s="15" t="n">
        <f aca="false">G21-F21</f>
        <v>-48</v>
      </c>
      <c r="I21" s="16" t="n">
        <f aca="false">IF(G21=0,0,H21/ABS(G21))</f>
        <v>-0.0205128205128205</v>
      </c>
      <c r="J21" s="13" t="n">
        <f aca="false">'Monthly P&amp;L'!N97</f>
        <v>2340</v>
      </c>
    </row>
    <row r="22" customFormat="false" ht="15" hidden="false" customHeight="false" outlineLevel="0" collapsed="false">
      <c r="A22" s="12" t="s">
        <v>43</v>
      </c>
      <c r="B22" s="13" t="n">
        <f aca="false">SUM('Monthly P&amp;L'!B22:D22)</f>
        <v>320</v>
      </c>
      <c r="C22" s="13" t="n">
        <f aca="false">SUM('Monthly P&amp;L'!E22:G22)</f>
        <v>323</v>
      </c>
      <c r="D22" s="13" t="n">
        <f aca="false">SUM('Monthly P&amp;L'!H22:J22)</f>
        <v>358</v>
      </c>
      <c r="E22" s="13" t="n">
        <f aca="false">SUM('Monthly P&amp;L'!K22:M22)</f>
        <v>362</v>
      </c>
      <c r="F22" s="14" t="n">
        <f aca="false">SUM(B22:E22)</f>
        <v>1363</v>
      </c>
      <c r="G22" s="13" t="n">
        <f aca="false">'Monthly P&amp;L'!N60</f>
        <v>1360</v>
      </c>
      <c r="H22" s="15" t="n">
        <f aca="false">G22-F22</f>
        <v>-3</v>
      </c>
      <c r="I22" s="16" t="n">
        <f aca="false">IF(G22=0,0,H22/ABS(G22))</f>
        <v>-0.00220588235294118</v>
      </c>
      <c r="J22" s="13" t="n">
        <f aca="false">'Monthly P&amp;L'!N98</f>
        <v>1268</v>
      </c>
    </row>
    <row r="23" customFormat="false" ht="15" hidden="false" customHeight="false" outlineLevel="0" collapsed="false">
      <c r="A23" s="17" t="s">
        <v>44</v>
      </c>
      <c r="B23" s="18" t="n">
        <f aca="false">SUM('Monthly P&amp;L'!B23:D23)</f>
        <v>7471</v>
      </c>
      <c r="C23" s="18" t="n">
        <f aca="false">SUM('Monthly P&amp;L'!E23:G23)</f>
        <v>7532</v>
      </c>
      <c r="D23" s="18" t="n">
        <f aca="false">SUM('Monthly P&amp;L'!H23:J23)</f>
        <v>8135</v>
      </c>
      <c r="E23" s="18" t="n">
        <f aca="false">SUM('Monthly P&amp;L'!K23:M23)</f>
        <v>8478</v>
      </c>
      <c r="F23" s="19" t="n">
        <f aca="false">SUM(B23:E23)</f>
        <v>31616</v>
      </c>
      <c r="G23" s="18" t="n">
        <f aca="false">'Monthly P&amp;L'!N61</f>
        <v>30790</v>
      </c>
      <c r="H23" s="19" t="n">
        <f aca="false">G23-F23</f>
        <v>-826</v>
      </c>
      <c r="I23" s="20" t="n">
        <f aca="false">IF(G23=0,0,H23/ABS(G23))</f>
        <v>-0.0268268918480026</v>
      </c>
      <c r="J23" s="18" t="n">
        <f aca="false">'Monthly P&amp;L'!N99</f>
        <v>29274</v>
      </c>
    </row>
    <row r="24" customFormat="false" ht="15" hidden="false" customHeight="false" outlineLevel="0" collapsed="false">
      <c r="A24" s="17" t="s">
        <v>45</v>
      </c>
      <c r="B24" s="18" t="n">
        <f aca="false">SUM('Monthly P&amp;L'!B24:D24)</f>
        <v>3614</v>
      </c>
      <c r="C24" s="18" t="n">
        <f aca="false">SUM('Monthly P&amp;L'!E24:G24)</f>
        <v>3593</v>
      </c>
      <c r="D24" s="18" t="n">
        <f aca="false">SUM('Monthly P&amp;L'!H24:J24)</f>
        <v>4052</v>
      </c>
      <c r="E24" s="18" t="n">
        <f aca="false">SUM('Monthly P&amp;L'!K24:M24)</f>
        <v>3775</v>
      </c>
      <c r="F24" s="19" t="n">
        <f aca="false">SUM(B24:E24)</f>
        <v>15034</v>
      </c>
      <c r="G24" s="18" t="n">
        <f aca="false">'Monthly P&amp;L'!N62</f>
        <v>16216</v>
      </c>
      <c r="H24" s="19" t="n">
        <f aca="false">F24-G24</f>
        <v>-1182</v>
      </c>
      <c r="I24" s="20" t="n">
        <f aca="false">IF(G24=0,0,H24/ABS(G24))</f>
        <v>-0.0728909718796251</v>
      </c>
      <c r="J24" s="18" t="n">
        <f aca="false">'Monthly P&amp;L'!N100</f>
        <v>15161</v>
      </c>
    </row>
    <row r="25" customFormat="false" ht="15" hidden="false" customHeight="false" outlineLevel="0" collapsed="false">
      <c r="A25" s="10" t="s">
        <v>46</v>
      </c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15" hidden="false" customHeight="false" outlineLevel="0" collapsed="false">
      <c r="A26" s="12" t="s">
        <v>47</v>
      </c>
      <c r="B26" s="13" t="n">
        <f aca="false">SUM('Monthly P&amp;L'!B26:D26)</f>
        <v>256</v>
      </c>
      <c r="C26" s="13" t="n">
        <f aca="false">SUM('Monthly P&amp;L'!E26:G26)</f>
        <v>259</v>
      </c>
      <c r="D26" s="13" t="n">
        <f aca="false">SUM('Monthly P&amp;L'!H26:J26)</f>
        <v>290</v>
      </c>
      <c r="E26" s="13" t="n">
        <f aca="false">SUM('Monthly P&amp;L'!K26:M26)</f>
        <v>293</v>
      </c>
      <c r="F26" s="14" t="n">
        <f aca="false">SUM(B26:E26)</f>
        <v>1098</v>
      </c>
      <c r="G26" s="13" t="n">
        <f aca="false">'Monthly P&amp;L'!N64</f>
        <v>1097</v>
      </c>
      <c r="H26" s="15" t="n">
        <f aca="false">G26-F26</f>
        <v>-1</v>
      </c>
      <c r="I26" s="16" t="n">
        <f aca="false">IF(G26=0,0,H26/ABS(G26))</f>
        <v>-0.000911577028258888</v>
      </c>
      <c r="J26" s="13" t="n">
        <f aca="false">'Monthly P&amp;L'!N102</f>
        <v>1016</v>
      </c>
    </row>
    <row r="27" customFormat="false" ht="15" hidden="false" customHeight="false" outlineLevel="0" collapsed="false">
      <c r="A27" s="12" t="s">
        <v>48</v>
      </c>
      <c r="B27" s="13" t="n">
        <f aca="false">SUM('Monthly P&amp;L'!B27:D27)</f>
        <v>555</v>
      </c>
      <c r="C27" s="13" t="n">
        <f aca="false">SUM('Monthly P&amp;L'!E27:G27)</f>
        <v>555</v>
      </c>
      <c r="D27" s="13" t="n">
        <f aca="false">SUM('Monthly P&amp;L'!H27:J27)</f>
        <v>555</v>
      </c>
      <c r="E27" s="13" t="n">
        <f aca="false">SUM('Monthly P&amp;L'!K27:M27)</f>
        <v>555</v>
      </c>
      <c r="F27" s="14" t="n">
        <f aca="false">SUM(B27:E27)</f>
        <v>2220</v>
      </c>
      <c r="G27" s="13" t="n">
        <f aca="false">'Monthly P&amp;L'!N65</f>
        <v>2220</v>
      </c>
      <c r="H27" s="15" t="n">
        <f aca="false">G27-F27</f>
        <v>0</v>
      </c>
      <c r="I27" s="16" t="n">
        <f aca="false">IF(G27=0,0,H27/ABS(G27))</f>
        <v>0</v>
      </c>
      <c r="J27" s="13" t="n">
        <f aca="false">'Monthly P&amp;L'!N103</f>
        <v>2136</v>
      </c>
    </row>
    <row r="28" customFormat="false" ht="15" hidden="false" customHeight="false" outlineLevel="0" collapsed="false">
      <c r="A28" s="12" t="s">
        <v>49</v>
      </c>
      <c r="B28" s="13" t="n">
        <f aca="false">SUM('Monthly P&amp;L'!B28:D28)</f>
        <v>102</v>
      </c>
      <c r="C28" s="13" t="n">
        <f aca="false">SUM('Monthly P&amp;L'!E28:G28)</f>
        <v>102</v>
      </c>
      <c r="D28" s="13" t="n">
        <f aca="false">SUM('Monthly P&amp;L'!H28:J28)</f>
        <v>102</v>
      </c>
      <c r="E28" s="13" t="n">
        <f aca="false">SUM('Monthly P&amp;L'!K28:M28)</f>
        <v>102</v>
      </c>
      <c r="F28" s="14" t="n">
        <f aca="false">SUM(B28:E28)</f>
        <v>408</v>
      </c>
      <c r="G28" s="13" t="n">
        <f aca="false">'Monthly P&amp;L'!N66</f>
        <v>408</v>
      </c>
      <c r="H28" s="15" t="n">
        <f aca="false">G28-F28</f>
        <v>0</v>
      </c>
      <c r="I28" s="16" t="n">
        <f aca="false">IF(G28=0,0,H28/ABS(G28))</f>
        <v>0</v>
      </c>
      <c r="J28" s="13" t="n">
        <f aca="false">'Monthly P&amp;L'!N104</f>
        <v>396</v>
      </c>
    </row>
    <row r="29" customFormat="false" ht="15" hidden="false" customHeight="false" outlineLevel="0" collapsed="false">
      <c r="A29" s="12" t="s">
        <v>50</v>
      </c>
      <c r="B29" s="13" t="n">
        <f aca="false">SUM('Monthly P&amp;L'!B29:D29)</f>
        <v>81</v>
      </c>
      <c r="C29" s="13" t="n">
        <f aca="false">SUM('Monthly P&amp;L'!E29:G29)</f>
        <v>81</v>
      </c>
      <c r="D29" s="13" t="n">
        <f aca="false">SUM('Monthly P&amp;L'!H29:J29)</f>
        <v>81</v>
      </c>
      <c r="E29" s="13" t="n">
        <f aca="false">SUM('Monthly P&amp;L'!K29:M29)</f>
        <v>81</v>
      </c>
      <c r="F29" s="14" t="n">
        <f aca="false">SUM(B29:E29)</f>
        <v>324</v>
      </c>
      <c r="G29" s="13" t="n">
        <f aca="false">'Monthly P&amp;L'!N67</f>
        <v>324</v>
      </c>
      <c r="H29" s="15" t="n">
        <f aca="false">G29-F29</f>
        <v>0</v>
      </c>
      <c r="I29" s="16" t="n">
        <f aca="false">IF(G29=0,0,H29/ABS(G29))</f>
        <v>0</v>
      </c>
      <c r="J29" s="13" t="n">
        <f aca="false">'Monthly P&amp;L'!N105</f>
        <v>312</v>
      </c>
    </row>
    <row r="30" customFormat="false" ht="15" hidden="false" customHeight="false" outlineLevel="0" collapsed="false">
      <c r="A30" s="12" t="s">
        <v>51</v>
      </c>
      <c r="B30" s="13" t="n">
        <f aca="false">SUM('Monthly P&amp;L'!B30:D30)</f>
        <v>93</v>
      </c>
      <c r="C30" s="13" t="n">
        <f aca="false">SUM('Monthly P&amp;L'!E30:G30)</f>
        <v>93</v>
      </c>
      <c r="D30" s="13" t="n">
        <f aca="false">SUM('Monthly P&amp;L'!H30:J30)</f>
        <v>93</v>
      </c>
      <c r="E30" s="13" t="n">
        <f aca="false">SUM('Monthly P&amp;L'!K30:M30)</f>
        <v>93</v>
      </c>
      <c r="F30" s="14" t="n">
        <f aca="false">SUM(B30:E30)</f>
        <v>372</v>
      </c>
      <c r="G30" s="13" t="n">
        <f aca="false">'Monthly P&amp;L'!N68</f>
        <v>372</v>
      </c>
      <c r="H30" s="15" t="n">
        <f aca="false">G30-F30</f>
        <v>0</v>
      </c>
      <c r="I30" s="16" t="n">
        <f aca="false">IF(G30=0,0,H30/ABS(G30))</f>
        <v>0</v>
      </c>
      <c r="J30" s="13" t="n">
        <f aca="false">'Monthly P&amp;L'!N106</f>
        <v>360</v>
      </c>
    </row>
    <row r="31" customFormat="false" ht="15" hidden="false" customHeight="false" outlineLevel="0" collapsed="false">
      <c r="A31" s="12" t="s">
        <v>52</v>
      </c>
      <c r="B31" s="13" t="n">
        <f aca="false">SUM('Monthly P&amp;L'!B31:D31)</f>
        <v>150</v>
      </c>
      <c r="C31" s="13" t="n">
        <f aca="false">SUM('Monthly P&amp;L'!E31:G31)</f>
        <v>150</v>
      </c>
      <c r="D31" s="13" t="n">
        <f aca="false">SUM('Monthly P&amp;L'!H31:J31)</f>
        <v>150</v>
      </c>
      <c r="E31" s="13" t="n">
        <f aca="false">SUM('Monthly P&amp;L'!K31:M31)</f>
        <v>150</v>
      </c>
      <c r="F31" s="14" t="n">
        <f aca="false">SUM(B31:E31)</f>
        <v>600</v>
      </c>
      <c r="G31" s="13" t="n">
        <f aca="false">'Monthly P&amp;L'!N69</f>
        <v>600</v>
      </c>
      <c r="H31" s="15" t="n">
        <f aca="false">G31-F31</f>
        <v>0</v>
      </c>
      <c r="I31" s="16" t="n">
        <f aca="false">IF(G31=0,0,H31/ABS(G31))</f>
        <v>0</v>
      </c>
      <c r="J31" s="13" t="n">
        <f aca="false">'Monthly P&amp;L'!N107</f>
        <v>576</v>
      </c>
    </row>
    <row r="32" customFormat="false" ht="15" hidden="false" customHeight="false" outlineLevel="0" collapsed="false">
      <c r="A32" s="12" t="s">
        <v>53</v>
      </c>
      <c r="B32" s="13" t="n">
        <f aca="false">SUM('Monthly P&amp;L'!B32:D32)</f>
        <v>75</v>
      </c>
      <c r="C32" s="13" t="n">
        <f aca="false">SUM('Monthly P&amp;L'!E32:G32)</f>
        <v>75</v>
      </c>
      <c r="D32" s="13" t="n">
        <f aca="false">SUM('Monthly P&amp;L'!H32:J32)</f>
        <v>75</v>
      </c>
      <c r="E32" s="13" t="n">
        <f aca="false">SUM('Monthly P&amp;L'!K32:M32)</f>
        <v>75</v>
      </c>
      <c r="F32" s="14" t="n">
        <f aca="false">SUM(B32:E32)</f>
        <v>300</v>
      </c>
      <c r="G32" s="13" t="n">
        <f aca="false">'Monthly P&amp;L'!N70</f>
        <v>300</v>
      </c>
      <c r="H32" s="15" t="n">
        <f aca="false">G32-F32</f>
        <v>0</v>
      </c>
      <c r="I32" s="16" t="n">
        <f aca="false">IF(G32=0,0,H32/ABS(G32))</f>
        <v>0</v>
      </c>
      <c r="J32" s="13" t="n">
        <f aca="false">'Monthly P&amp;L'!N108</f>
        <v>288</v>
      </c>
    </row>
    <row r="33" customFormat="false" ht="15" hidden="false" customHeight="false" outlineLevel="0" collapsed="false">
      <c r="A33" s="17" t="s">
        <v>54</v>
      </c>
      <c r="B33" s="18" t="n">
        <f aca="false">SUM('Monthly P&amp;L'!B33:D33)</f>
        <v>1312</v>
      </c>
      <c r="C33" s="18" t="n">
        <f aca="false">SUM('Monthly P&amp;L'!E33:G33)</f>
        <v>1315</v>
      </c>
      <c r="D33" s="18" t="n">
        <f aca="false">SUM('Monthly P&amp;L'!H33:J33)</f>
        <v>1346</v>
      </c>
      <c r="E33" s="18" t="n">
        <f aca="false">SUM('Monthly P&amp;L'!K33:M33)</f>
        <v>1349</v>
      </c>
      <c r="F33" s="19" t="n">
        <f aca="false">SUM(B33:E33)</f>
        <v>5322</v>
      </c>
      <c r="G33" s="18" t="n">
        <f aca="false">'Monthly P&amp;L'!N71</f>
        <v>5321</v>
      </c>
      <c r="H33" s="19" t="n">
        <f aca="false">G33-F33</f>
        <v>-1</v>
      </c>
      <c r="I33" s="20" t="n">
        <f aca="false">IF(G33=0,0,H33/ABS(G33))</f>
        <v>-0.000187934598759632</v>
      </c>
      <c r="J33" s="18" t="n">
        <f aca="false">'Monthly P&amp;L'!N109</f>
        <v>5084</v>
      </c>
    </row>
    <row r="34" customFormat="false" ht="15" hidden="false" customHeight="false" outlineLevel="0" collapsed="false">
      <c r="A34" s="17" t="s">
        <v>55</v>
      </c>
      <c r="B34" s="18" t="n">
        <f aca="false">SUM('Monthly P&amp;L'!B34:D34)</f>
        <v>2302</v>
      </c>
      <c r="C34" s="18" t="n">
        <f aca="false">SUM('Monthly P&amp;L'!E34:G34)</f>
        <v>2278</v>
      </c>
      <c r="D34" s="18" t="n">
        <f aca="false">SUM('Monthly P&amp;L'!H34:J34)</f>
        <v>2706</v>
      </c>
      <c r="E34" s="18" t="n">
        <f aca="false">SUM('Monthly P&amp;L'!K34:M34)</f>
        <v>2426</v>
      </c>
      <c r="F34" s="19" t="n">
        <f aca="false">SUM(B34:E34)</f>
        <v>9712</v>
      </c>
      <c r="G34" s="18" t="n">
        <f aca="false">'Monthly P&amp;L'!N72</f>
        <v>10895</v>
      </c>
      <c r="H34" s="19" t="n">
        <f aca="false">F34-G34</f>
        <v>-1183</v>
      </c>
      <c r="I34" s="20" t="n">
        <f aca="false">IF(G34=0,0,H34/ABS(G34))</f>
        <v>-0.108581918311152</v>
      </c>
      <c r="J34" s="18" t="n">
        <f aca="false">'Monthly P&amp;L'!N110</f>
        <v>10077</v>
      </c>
    </row>
    <row r="35" customFormat="false" ht="15" hidden="false" customHeight="false" outlineLevel="0" collapsed="false">
      <c r="A35" s="12" t="s">
        <v>56</v>
      </c>
      <c r="B35" s="16" t="n">
        <f aca="false">IF(B13=0,0,B34/B13)</f>
        <v>0.20766801984664</v>
      </c>
      <c r="C35" s="16" t="n">
        <f aca="false">IF(C13=0,0,C34/C13)</f>
        <v>0.20476404494382</v>
      </c>
      <c r="D35" s="16" t="n">
        <f aca="false">IF(D13=0,0,D34/D13)</f>
        <v>0.22203987855912</v>
      </c>
      <c r="E35" s="16" t="n">
        <f aca="false">IF(E13=0,0,E34/E13)</f>
        <v>0.197992328409369</v>
      </c>
      <c r="F35" s="16" t="n">
        <f aca="false">IF(F13=0,0,F34/F13)</f>
        <v>0.208188638799571</v>
      </c>
      <c r="G35" s="16" t="n">
        <f aca="false">IF(G13=0,0,G34/G13)</f>
        <v>0.231778921839765</v>
      </c>
      <c r="J35" s="16" t="n">
        <f aca="false">IF(J13=0,0,J34/J13)</f>
        <v>0.226780690896816</v>
      </c>
    </row>
    <row r="36" customFormat="false" ht="15" hidden="false" customHeight="false" outlineLevel="0" collapsed="false">
      <c r="A36" s="10" t="s">
        <v>57</v>
      </c>
      <c r="B36" s="11"/>
      <c r="C36" s="11"/>
      <c r="D36" s="11"/>
      <c r="E36" s="11"/>
      <c r="F36" s="11"/>
      <c r="G36" s="11"/>
      <c r="H36" s="11"/>
      <c r="I36" s="11"/>
      <c r="J36" s="11"/>
    </row>
    <row r="37" customFormat="false" ht="15" hidden="false" customHeight="false" outlineLevel="0" collapsed="false">
      <c r="A37" s="12" t="s">
        <v>58</v>
      </c>
      <c r="B37" s="13" t="n">
        <f aca="false">SUM('Monthly P&amp;L'!B36:D36)</f>
        <v>801</v>
      </c>
      <c r="C37" s="13" t="n">
        <f aca="false">SUM('Monthly P&amp;L'!E36:G36)</f>
        <v>801</v>
      </c>
      <c r="D37" s="13" t="n">
        <f aca="false">SUM('Monthly P&amp;L'!H36:J36)</f>
        <v>801</v>
      </c>
      <c r="E37" s="13" t="n">
        <f aca="false">SUM('Monthly P&amp;L'!K36:M36)</f>
        <v>801</v>
      </c>
      <c r="F37" s="14" t="n">
        <f aca="false">SUM(B37:E37)</f>
        <v>3204</v>
      </c>
      <c r="G37" s="13" t="n">
        <f aca="false">'Monthly P&amp;L'!N74</f>
        <v>3204</v>
      </c>
      <c r="H37" s="15" t="n">
        <f aca="false">G37-F37</f>
        <v>0</v>
      </c>
      <c r="I37" s="16" t="n">
        <f aca="false">IF(G37=0,0,H37/ABS(G37))</f>
        <v>0</v>
      </c>
      <c r="J37" s="13" t="n">
        <f aca="false">'Monthly P&amp;L'!N112</f>
        <v>3204</v>
      </c>
    </row>
    <row r="38" customFormat="false" ht="15" hidden="false" customHeight="false" outlineLevel="0" collapsed="false">
      <c r="A38" s="12" t="s">
        <v>59</v>
      </c>
      <c r="B38" s="13" t="n">
        <f aca="false">SUM('Monthly P&amp;L'!B37:D37)</f>
        <v>576</v>
      </c>
      <c r="C38" s="13" t="n">
        <f aca="false">SUM('Monthly P&amp;L'!E37:G37)</f>
        <v>576</v>
      </c>
      <c r="D38" s="13" t="n">
        <f aca="false">SUM('Monthly P&amp;L'!H37:J37)</f>
        <v>576</v>
      </c>
      <c r="E38" s="13" t="n">
        <f aca="false">SUM('Monthly P&amp;L'!K37:M37)</f>
        <v>576</v>
      </c>
      <c r="F38" s="14" t="n">
        <f aca="false">SUM(B38:E38)</f>
        <v>2304</v>
      </c>
      <c r="G38" s="13" t="n">
        <f aca="false">'Monthly P&amp;L'!N75</f>
        <v>2304</v>
      </c>
      <c r="H38" s="15" t="n">
        <f aca="false">G38-F38</f>
        <v>0</v>
      </c>
      <c r="I38" s="16" t="n">
        <f aca="false">IF(G38=0,0,H38/ABS(G38))</f>
        <v>0</v>
      </c>
      <c r="J38" s="13" t="n">
        <f aca="false">'Monthly P&amp;L'!N113</f>
        <v>2076</v>
      </c>
    </row>
    <row r="39" customFormat="false" ht="15" hidden="false" customHeight="false" outlineLevel="0" collapsed="false">
      <c r="A39" s="12" t="s">
        <v>60</v>
      </c>
      <c r="B39" s="13" t="n">
        <f aca="false">SUM('Monthly P&amp;L'!B38:D38)</f>
        <v>399</v>
      </c>
      <c r="C39" s="13" t="n">
        <f aca="false">SUM('Monthly P&amp;L'!E38:G38)</f>
        <v>399</v>
      </c>
      <c r="D39" s="13" t="n">
        <f aca="false">SUM('Monthly P&amp;L'!H38:J38)</f>
        <v>399</v>
      </c>
      <c r="E39" s="13" t="n">
        <f aca="false">SUM('Monthly P&amp;L'!K38:M38)</f>
        <v>399</v>
      </c>
      <c r="F39" s="14" t="n">
        <f aca="false">SUM(B39:E39)</f>
        <v>1596</v>
      </c>
      <c r="G39" s="13" t="n">
        <f aca="false">'Monthly P&amp;L'!N76</f>
        <v>1596</v>
      </c>
      <c r="H39" s="15" t="n">
        <f aca="false">G39-F39</f>
        <v>0</v>
      </c>
      <c r="I39" s="16" t="n">
        <f aca="false">IF(G39=0,0,H39/ABS(G39))</f>
        <v>0</v>
      </c>
      <c r="J39" s="13" t="n">
        <f aca="false">'Monthly P&amp;L'!N114</f>
        <v>1596</v>
      </c>
    </row>
    <row r="40" customFormat="false" ht="15" hidden="false" customHeight="false" outlineLevel="0" collapsed="false">
      <c r="A40" s="12" t="s">
        <v>61</v>
      </c>
      <c r="B40" s="13" t="n">
        <f aca="false">SUM('Monthly P&amp;L'!B39:D39)</f>
        <v>999</v>
      </c>
      <c r="C40" s="13" t="n">
        <f aca="false">SUM('Monthly P&amp;L'!E39:G39)</f>
        <v>999</v>
      </c>
      <c r="D40" s="13" t="n">
        <f aca="false">SUM('Monthly P&amp;L'!H39:J39)</f>
        <v>999</v>
      </c>
      <c r="E40" s="13" t="n">
        <f aca="false">SUM('Monthly P&amp;L'!K39:M39)</f>
        <v>999</v>
      </c>
      <c r="F40" s="14" t="n">
        <f aca="false">SUM(B40:E40)</f>
        <v>3996</v>
      </c>
      <c r="G40" s="13" t="n">
        <f aca="false">'Monthly P&amp;L'!N77</f>
        <v>3996</v>
      </c>
      <c r="H40" s="15" t="n">
        <f aca="false">G40-F40</f>
        <v>0</v>
      </c>
      <c r="I40" s="16" t="n">
        <f aca="false">IF(G40=0,0,H40/ABS(G40))</f>
        <v>0</v>
      </c>
      <c r="J40" s="13" t="n">
        <f aca="false">'Monthly P&amp;L'!N115</f>
        <v>3840</v>
      </c>
    </row>
    <row r="41" customFormat="false" ht="15" hidden="false" customHeight="false" outlineLevel="0" collapsed="false">
      <c r="A41" s="12" t="s">
        <v>62</v>
      </c>
      <c r="B41" s="13" t="n">
        <f aca="false">SUM('Monthly P&amp;L'!B40:D40)</f>
        <v>24</v>
      </c>
      <c r="C41" s="13" t="n">
        <f aca="false">SUM('Monthly P&amp;L'!E40:G40)</f>
        <v>24</v>
      </c>
      <c r="D41" s="13" t="n">
        <f aca="false">SUM('Monthly P&amp;L'!H40:J40)</f>
        <v>24</v>
      </c>
      <c r="E41" s="13" t="n">
        <f aca="false">SUM('Monthly P&amp;L'!K40:M40)</f>
        <v>24</v>
      </c>
      <c r="F41" s="14" t="n">
        <f aca="false">SUM(B41:E41)</f>
        <v>96</v>
      </c>
      <c r="G41" s="13" t="n">
        <f aca="false">'Monthly P&amp;L'!N78</f>
        <v>96</v>
      </c>
      <c r="H41" s="15" t="n">
        <f aca="false">G41-F41</f>
        <v>0</v>
      </c>
      <c r="I41" s="16" t="n">
        <f aca="false">IF(G41=0,0,H41/ABS(G41))</f>
        <v>0</v>
      </c>
      <c r="J41" s="13" t="n">
        <f aca="false">'Monthly P&amp;L'!N116</f>
        <v>96</v>
      </c>
    </row>
    <row r="42" customFormat="false" ht="15" hidden="false" customHeight="false" outlineLevel="0" collapsed="false">
      <c r="A42" s="17" t="s">
        <v>63</v>
      </c>
      <c r="B42" s="18" t="n">
        <f aca="false">SUM('Monthly P&amp;L'!B41:D41)</f>
        <v>-497</v>
      </c>
      <c r="C42" s="18" t="n">
        <f aca="false">SUM('Monthly P&amp;L'!E41:G41)</f>
        <v>-521</v>
      </c>
      <c r="D42" s="18" t="n">
        <f aca="false">SUM('Monthly P&amp;L'!H41:J41)</f>
        <v>-93</v>
      </c>
      <c r="E42" s="18" t="n">
        <f aca="false">SUM('Monthly P&amp;L'!K41:M41)</f>
        <v>-373</v>
      </c>
      <c r="F42" s="19" t="n">
        <f aca="false">SUM(B42:E42)</f>
        <v>-1484</v>
      </c>
      <c r="G42" s="18" t="n">
        <f aca="false">'Monthly P&amp;L'!N79</f>
        <v>-301</v>
      </c>
      <c r="H42" s="19" t="n">
        <f aca="false">F42-G42</f>
        <v>-1183</v>
      </c>
      <c r="I42" s="20" t="n">
        <f aca="false">IF(G42=0,0,H42/ABS(G42))</f>
        <v>-3.93023255813953</v>
      </c>
      <c r="J42" s="18" t="n">
        <f aca="false">'Monthly P&amp;L'!N117</f>
        <v>-735</v>
      </c>
    </row>
    <row r="44" customFormat="false" ht="15" hidden="false" customHeight="false" outlineLevel="0" collapsed="false">
      <c r="A44" s="21" t="s">
        <v>64</v>
      </c>
    </row>
  </sheetData>
  <mergeCells count="4">
    <mergeCell ref="A1:J1"/>
    <mergeCell ref="A2:J2"/>
    <mergeCell ref="A3:J3"/>
    <mergeCell ref="A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2" style="0" width="9.51"/>
  </cols>
  <sheetData>
    <row r="1" customFormat="false" ht="17.3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customFormat="false" ht="15" hidden="false" customHeight="false" outlineLevel="0" collapsed="false">
      <c r="A2" s="6" t="s">
        <v>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15" hidden="false" customHeight="false" outlineLevel="0" collapsed="false">
      <c r="A3" s="7" t="s">
        <v>17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customFormat="false" ht="15" hidden="false" customHeight="false" outlineLevel="0" collapsed="false">
      <c r="A4" s="8" t="s">
        <v>18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6" customFormat="false" ht="15" hidden="false" customHeight="false" outlineLevel="0" collapsed="false">
      <c r="A6" s="9" t="s">
        <v>66</v>
      </c>
      <c r="B6" s="9" t="s">
        <v>67</v>
      </c>
      <c r="C6" s="9" t="s">
        <v>68</v>
      </c>
      <c r="D6" s="9" t="s">
        <v>69</v>
      </c>
      <c r="E6" s="9" t="s">
        <v>70</v>
      </c>
      <c r="F6" s="9" t="s">
        <v>71</v>
      </c>
      <c r="G6" s="9" t="s">
        <v>72</v>
      </c>
      <c r="H6" s="9" t="s">
        <v>73</v>
      </c>
      <c r="I6" s="9" t="s">
        <v>74</v>
      </c>
      <c r="J6" s="9" t="s">
        <v>75</v>
      </c>
      <c r="K6" s="9" t="s">
        <v>76</v>
      </c>
      <c r="L6" s="9" t="s">
        <v>77</v>
      </c>
      <c r="M6" s="9" t="s">
        <v>78</v>
      </c>
      <c r="N6" s="9" t="s">
        <v>79</v>
      </c>
    </row>
    <row r="7" customFormat="false" ht="15" hidden="false" customHeight="false" outlineLevel="0" collapsed="false">
      <c r="A7" s="10" t="s">
        <v>28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customFormat="false" ht="15" hidden="false" customHeight="false" outlineLevel="0" collapsed="false">
      <c r="A8" s="12" t="s">
        <v>29</v>
      </c>
      <c r="B8" s="22" t="n">
        <v>2145</v>
      </c>
      <c r="C8" s="22" t="n">
        <v>2113</v>
      </c>
      <c r="D8" s="22" t="n">
        <v>2097</v>
      </c>
      <c r="E8" s="22" t="n">
        <v>2167</v>
      </c>
      <c r="F8" s="22" t="n">
        <v>2169</v>
      </c>
      <c r="G8" s="22" t="n">
        <v>2235</v>
      </c>
      <c r="H8" s="22" t="n">
        <v>2262</v>
      </c>
      <c r="I8" s="22" t="n">
        <v>2299</v>
      </c>
      <c r="J8" s="22" t="n">
        <v>2347</v>
      </c>
      <c r="K8" s="22" t="n">
        <v>2335</v>
      </c>
      <c r="L8" s="22" t="n">
        <v>2329</v>
      </c>
      <c r="M8" s="22" t="n">
        <v>2334</v>
      </c>
      <c r="N8" s="15" t="n">
        <f aca="false">SUM(B8:M8)</f>
        <v>26832</v>
      </c>
    </row>
    <row r="9" customFormat="false" ht="15" hidden="false" customHeight="false" outlineLevel="0" collapsed="false">
      <c r="A9" s="12" t="s">
        <v>30</v>
      </c>
      <c r="B9" s="22" t="n">
        <v>1011</v>
      </c>
      <c r="C9" s="22" t="n">
        <v>918</v>
      </c>
      <c r="D9" s="22" t="n">
        <v>859</v>
      </c>
      <c r="E9" s="22" t="n">
        <v>830</v>
      </c>
      <c r="F9" s="22" t="n">
        <v>852</v>
      </c>
      <c r="G9" s="22" t="n">
        <v>991</v>
      </c>
      <c r="H9" s="22" t="n">
        <v>1091</v>
      </c>
      <c r="I9" s="22" t="n">
        <v>1159</v>
      </c>
      <c r="J9" s="22" t="n">
        <v>1195</v>
      </c>
      <c r="K9" s="22" t="n">
        <v>1172</v>
      </c>
      <c r="L9" s="22" t="n">
        <v>1174</v>
      </c>
      <c r="M9" s="22" t="n">
        <v>1119</v>
      </c>
      <c r="N9" s="15" t="n">
        <f aca="false">SUM(B9:M9)</f>
        <v>12371</v>
      </c>
    </row>
    <row r="10" customFormat="false" ht="15" hidden="false" customHeight="false" outlineLevel="0" collapsed="false">
      <c r="A10" s="12" t="s">
        <v>31</v>
      </c>
      <c r="B10" s="22" t="n">
        <v>268</v>
      </c>
      <c r="C10" s="22" t="n">
        <v>258</v>
      </c>
      <c r="D10" s="22" t="n">
        <v>248</v>
      </c>
      <c r="E10" s="22" t="n">
        <v>258</v>
      </c>
      <c r="F10" s="22" t="n">
        <v>272</v>
      </c>
      <c r="G10" s="22" t="n">
        <v>298</v>
      </c>
      <c r="H10" s="22" t="n">
        <v>298</v>
      </c>
      <c r="I10" s="22" t="n">
        <v>294</v>
      </c>
      <c r="J10" s="22" t="n">
        <v>292</v>
      </c>
      <c r="K10" s="22" t="n">
        <v>296</v>
      </c>
      <c r="L10" s="22" t="n">
        <v>308</v>
      </c>
      <c r="M10" s="22" t="n">
        <v>314</v>
      </c>
      <c r="N10" s="15" t="n">
        <f aca="false">SUM(B10:M10)</f>
        <v>3404</v>
      </c>
    </row>
    <row r="11" customFormat="false" ht="15" hidden="false" customHeight="false" outlineLevel="0" collapsed="false">
      <c r="A11" s="12" t="s">
        <v>32</v>
      </c>
      <c r="B11" s="22" t="n">
        <v>283</v>
      </c>
      <c r="C11" s="22" t="n">
        <v>276</v>
      </c>
      <c r="D11" s="22" t="n">
        <v>264</v>
      </c>
      <c r="E11" s="22" t="n">
        <v>250</v>
      </c>
      <c r="F11" s="22" t="n">
        <v>235</v>
      </c>
      <c r="G11" s="22" t="n">
        <v>223</v>
      </c>
      <c r="H11" s="22" t="n">
        <v>211</v>
      </c>
      <c r="I11" s="22" t="n">
        <v>202</v>
      </c>
      <c r="J11" s="22" t="n">
        <v>192</v>
      </c>
      <c r="K11" s="22" t="n">
        <v>182</v>
      </c>
      <c r="L11" s="22" t="n">
        <v>175</v>
      </c>
      <c r="M11" s="22" t="n">
        <v>170</v>
      </c>
      <c r="N11" s="15" t="n">
        <f aca="false">SUM(B11:M11)</f>
        <v>2663</v>
      </c>
    </row>
    <row r="12" customFormat="false" ht="15" hidden="false" customHeight="false" outlineLevel="0" collapsed="false">
      <c r="A12" s="12" t="s">
        <v>33</v>
      </c>
      <c r="B12" s="22" t="n">
        <v>115</v>
      </c>
      <c r="C12" s="22" t="n">
        <v>115</v>
      </c>
      <c r="D12" s="22" t="n">
        <v>115</v>
      </c>
      <c r="E12" s="22" t="n">
        <v>115</v>
      </c>
      <c r="F12" s="22" t="n">
        <v>115</v>
      </c>
      <c r="G12" s="22" t="n">
        <v>115</v>
      </c>
      <c r="H12" s="22" t="n">
        <v>115</v>
      </c>
      <c r="I12" s="22" t="n">
        <v>115</v>
      </c>
      <c r="J12" s="22" t="n">
        <v>115</v>
      </c>
      <c r="K12" s="22" t="n">
        <v>115</v>
      </c>
      <c r="L12" s="22" t="n">
        <v>115</v>
      </c>
      <c r="M12" s="22" t="n">
        <v>115</v>
      </c>
      <c r="N12" s="15" t="n">
        <f aca="false">SUM(B12:M12)</f>
        <v>1380</v>
      </c>
    </row>
    <row r="13" customFormat="false" ht="15" hidden="false" customHeight="false" outlineLevel="0" collapsed="false">
      <c r="A13" s="23" t="s">
        <v>34</v>
      </c>
      <c r="B13" s="19" t="n">
        <f aca="false">SUM(B8:B12)</f>
        <v>3822</v>
      </c>
      <c r="C13" s="19" t="n">
        <f aca="false">SUM(C8:C12)</f>
        <v>3680</v>
      </c>
      <c r="D13" s="19" t="n">
        <f aca="false">SUM(D8:D12)</f>
        <v>3583</v>
      </c>
      <c r="E13" s="19" t="n">
        <f aca="false">SUM(E8:E12)</f>
        <v>3620</v>
      </c>
      <c r="F13" s="19" t="n">
        <f aca="false">SUM(F8:F12)</f>
        <v>3643</v>
      </c>
      <c r="G13" s="19" t="n">
        <f aca="false">SUM(G8:G12)</f>
        <v>3862</v>
      </c>
      <c r="H13" s="19" t="n">
        <f aca="false">SUM(H8:H12)</f>
        <v>3977</v>
      </c>
      <c r="I13" s="19" t="n">
        <f aca="false">SUM(I8:I12)</f>
        <v>4069</v>
      </c>
      <c r="J13" s="19" t="n">
        <f aca="false">SUM(J8:J12)</f>
        <v>4141</v>
      </c>
      <c r="K13" s="19" t="n">
        <f aca="false">SUM(K8:K12)</f>
        <v>4100</v>
      </c>
      <c r="L13" s="19" t="n">
        <f aca="false">SUM(L8:L12)</f>
        <v>4101</v>
      </c>
      <c r="M13" s="19" t="n">
        <f aca="false">SUM(M8:M12)</f>
        <v>4052</v>
      </c>
      <c r="N13" s="19" t="n">
        <f aca="false">SUM(B13:M13)</f>
        <v>46650</v>
      </c>
    </row>
    <row r="14" customFormat="false" ht="15" hidden="false" customHeight="false" outlineLevel="0" collapsed="false">
      <c r="A14" s="10" t="s">
        <v>35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customFormat="false" ht="15" hidden="false" customHeight="false" outlineLevel="0" collapsed="false">
      <c r="A15" s="12" t="s">
        <v>36</v>
      </c>
      <c r="B15" s="22" t="n">
        <v>782</v>
      </c>
      <c r="C15" s="22" t="n">
        <v>751</v>
      </c>
      <c r="D15" s="22" t="n">
        <v>732</v>
      </c>
      <c r="E15" s="22" t="n">
        <v>742</v>
      </c>
      <c r="F15" s="22" t="n">
        <v>748</v>
      </c>
      <c r="G15" s="22" t="n">
        <v>799</v>
      </c>
      <c r="H15" s="22" t="n">
        <v>835</v>
      </c>
      <c r="I15" s="22" t="n">
        <v>861</v>
      </c>
      <c r="J15" s="22" t="n">
        <v>882</v>
      </c>
      <c r="K15" s="22" t="n">
        <v>873</v>
      </c>
      <c r="L15" s="22" t="n">
        <v>872</v>
      </c>
      <c r="M15" s="22" t="n">
        <v>860</v>
      </c>
      <c r="N15" s="15" t="n">
        <f aca="false">SUM(B15:M15)</f>
        <v>9737</v>
      </c>
    </row>
    <row r="16" customFormat="false" ht="15" hidden="false" customHeight="false" outlineLevel="0" collapsed="false">
      <c r="A16" s="12" t="s">
        <v>37</v>
      </c>
      <c r="B16" s="22" t="n">
        <v>750</v>
      </c>
      <c r="C16" s="22" t="n">
        <v>737</v>
      </c>
      <c r="D16" s="22" t="n">
        <v>730</v>
      </c>
      <c r="E16" s="22" t="n">
        <v>724</v>
      </c>
      <c r="F16" s="22" t="n">
        <v>725</v>
      </c>
      <c r="G16" s="22" t="n">
        <v>749</v>
      </c>
      <c r="H16" s="22" t="n">
        <v>754</v>
      </c>
      <c r="I16" s="22" t="n">
        <v>770</v>
      </c>
      <c r="J16" s="22" t="n">
        <v>779</v>
      </c>
      <c r="K16" s="22" t="n">
        <v>820</v>
      </c>
      <c r="L16" s="22" t="n">
        <v>821</v>
      </c>
      <c r="M16" s="22" t="n">
        <v>814</v>
      </c>
      <c r="N16" s="15" t="n">
        <f aca="false">SUM(B16:M16)</f>
        <v>9173</v>
      </c>
    </row>
    <row r="17" customFormat="false" ht="15" hidden="false" customHeight="false" outlineLevel="0" collapsed="false">
      <c r="A17" s="12" t="s">
        <v>38</v>
      </c>
      <c r="B17" s="22" t="n">
        <v>310</v>
      </c>
      <c r="C17" s="22" t="n">
        <v>308</v>
      </c>
      <c r="D17" s="22" t="n">
        <v>311</v>
      </c>
      <c r="E17" s="22" t="n">
        <v>313</v>
      </c>
      <c r="F17" s="22" t="n">
        <v>308</v>
      </c>
      <c r="G17" s="22" t="n">
        <v>311</v>
      </c>
      <c r="H17" s="22" t="n">
        <v>309</v>
      </c>
      <c r="I17" s="22" t="n">
        <v>319</v>
      </c>
      <c r="J17" s="22" t="n">
        <v>329</v>
      </c>
      <c r="K17" s="22" t="n">
        <v>334</v>
      </c>
      <c r="L17" s="22" t="n">
        <v>340</v>
      </c>
      <c r="M17" s="22" t="n">
        <v>341</v>
      </c>
      <c r="N17" s="15" t="n">
        <f aca="false">SUM(B17:M17)</f>
        <v>3833</v>
      </c>
    </row>
    <row r="18" customFormat="false" ht="15" hidden="false" customHeight="false" outlineLevel="0" collapsed="false">
      <c r="A18" s="12" t="s">
        <v>39</v>
      </c>
      <c r="B18" s="22" t="n">
        <v>331</v>
      </c>
      <c r="C18" s="22" t="n">
        <v>336</v>
      </c>
      <c r="D18" s="22" t="n">
        <v>340</v>
      </c>
      <c r="E18" s="22" t="n">
        <v>339</v>
      </c>
      <c r="F18" s="22" t="n">
        <v>343</v>
      </c>
      <c r="G18" s="22" t="n">
        <v>348</v>
      </c>
      <c r="H18" s="22" t="n">
        <v>339</v>
      </c>
      <c r="I18" s="22" t="n">
        <v>342</v>
      </c>
      <c r="J18" s="22" t="n">
        <v>346</v>
      </c>
      <c r="K18" s="22" t="n">
        <v>350</v>
      </c>
      <c r="L18" s="22" t="n">
        <v>354</v>
      </c>
      <c r="M18" s="22" t="n">
        <v>357</v>
      </c>
      <c r="N18" s="15" t="n">
        <f aca="false">SUM(B18:M18)</f>
        <v>4125</v>
      </c>
    </row>
    <row r="19" customFormat="false" ht="15" hidden="false" customHeight="false" outlineLevel="0" collapsed="false">
      <c r="A19" s="12" t="s">
        <v>40</v>
      </c>
      <c r="B19" s="22" t="n">
        <v>0</v>
      </c>
      <c r="C19" s="22" t="n">
        <v>0</v>
      </c>
      <c r="D19" s="22" t="n">
        <v>0</v>
      </c>
      <c r="E19" s="22" t="n">
        <v>0</v>
      </c>
      <c r="F19" s="22" t="n">
        <v>0</v>
      </c>
      <c r="G19" s="22" t="n">
        <v>25</v>
      </c>
      <c r="H19" s="22" t="n">
        <v>40</v>
      </c>
      <c r="I19" s="22" t="n">
        <v>55</v>
      </c>
      <c r="J19" s="22" t="n">
        <v>65</v>
      </c>
      <c r="K19" s="22" t="n">
        <v>70</v>
      </c>
      <c r="L19" s="22" t="n">
        <v>75</v>
      </c>
      <c r="M19" s="22" t="n">
        <v>80</v>
      </c>
      <c r="N19" s="15" t="n">
        <f aca="false">SUM(B19:M19)</f>
        <v>410</v>
      </c>
    </row>
    <row r="20" customFormat="false" ht="15" hidden="false" customHeight="false" outlineLevel="0" collapsed="false">
      <c r="A20" s="12" t="s">
        <v>41</v>
      </c>
      <c r="B20" s="22" t="n">
        <v>47</v>
      </c>
      <c r="C20" s="22" t="n">
        <v>45</v>
      </c>
      <c r="D20" s="22" t="n">
        <v>44</v>
      </c>
      <c r="E20" s="22" t="n">
        <v>45</v>
      </c>
      <c r="F20" s="22" t="n">
        <v>45</v>
      </c>
      <c r="G20" s="22" t="n">
        <v>48</v>
      </c>
      <c r="H20" s="22" t="n">
        <v>50</v>
      </c>
      <c r="I20" s="22" t="n">
        <v>52</v>
      </c>
      <c r="J20" s="22" t="n">
        <v>53</v>
      </c>
      <c r="K20" s="22" t="n">
        <v>53</v>
      </c>
      <c r="L20" s="22" t="n">
        <v>53</v>
      </c>
      <c r="M20" s="22" t="n">
        <v>52</v>
      </c>
      <c r="N20" s="15" t="n">
        <f aca="false">SUM(B20:M20)</f>
        <v>587</v>
      </c>
    </row>
    <row r="21" customFormat="false" ht="15" hidden="false" customHeight="false" outlineLevel="0" collapsed="false">
      <c r="A21" s="12" t="s">
        <v>42</v>
      </c>
      <c r="B21" s="22" t="n">
        <v>199</v>
      </c>
      <c r="C21" s="22" t="n">
        <v>199</v>
      </c>
      <c r="D21" s="22" t="n">
        <v>199</v>
      </c>
      <c r="E21" s="22" t="n">
        <v>199</v>
      </c>
      <c r="F21" s="22" t="n">
        <v>199</v>
      </c>
      <c r="G21" s="22" t="n">
        <v>199</v>
      </c>
      <c r="H21" s="22" t="n">
        <v>199</v>
      </c>
      <c r="I21" s="22" t="n">
        <v>199</v>
      </c>
      <c r="J21" s="22" t="n">
        <v>199</v>
      </c>
      <c r="K21" s="22" t="n">
        <v>199</v>
      </c>
      <c r="L21" s="22" t="n">
        <v>199</v>
      </c>
      <c r="M21" s="22" t="n">
        <v>199</v>
      </c>
      <c r="N21" s="15" t="n">
        <f aca="false">SUM(B21:M21)</f>
        <v>2388</v>
      </c>
    </row>
    <row r="22" customFormat="false" ht="15" hidden="false" customHeight="false" outlineLevel="0" collapsed="false">
      <c r="A22" s="12" t="s">
        <v>43</v>
      </c>
      <c r="B22" s="22" t="n">
        <v>110</v>
      </c>
      <c r="C22" s="22" t="n">
        <v>106</v>
      </c>
      <c r="D22" s="22" t="n">
        <v>104</v>
      </c>
      <c r="E22" s="22" t="n">
        <v>105</v>
      </c>
      <c r="F22" s="22" t="n">
        <v>106</v>
      </c>
      <c r="G22" s="22" t="n">
        <v>112</v>
      </c>
      <c r="H22" s="22" t="n">
        <v>116</v>
      </c>
      <c r="I22" s="22" t="n">
        <v>120</v>
      </c>
      <c r="J22" s="22" t="n">
        <v>122</v>
      </c>
      <c r="K22" s="22" t="n">
        <v>121</v>
      </c>
      <c r="L22" s="22" t="n">
        <v>121</v>
      </c>
      <c r="M22" s="22" t="n">
        <v>120</v>
      </c>
      <c r="N22" s="15" t="n">
        <f aca="false">SUM(B22:M22)</f>
        <v>1363</v>
      </c>
    </row>
    <row r="23" customFormat="false" ht="15" hidden="false" customHeight="false" outlineLevel="0" collapsed="false">
      <c r="A23" s="23" t="s">
        <v>44</v>
      </c>
      <c r="B23" s="19" t="n">
        <f aca="false">SUM(B15:B22)</f>
        <v>2529</v>
      </c>
      <c r="C23" s="19" t="n">
        <f aca="false">SUM(C15:C22)</f>
        <v>2482</v>
      </c>
      <c r="D23" s="19" t="n">
        <f aca="false">SUM(D15:D22)</f>
        <v>2460</v>
      </c>
      <c r="E23" s="19" t="n">
        <f aca="false">SUM(E15:E22)</f>
        <v>2467</v>
      </c>
      <c r="F23" s="19" t="n">
        <f aca="false">SUM(F15:F22)</f>
        <v>2474</v>
      </c>
      <c r="G23" s="19" t="n">
        <f aca="false">SUM(G15:G22)</f>
        <v>2591</v>
      </c>
      <c r="H23" s="19" t="n">
        <f aca="false">SUM(H15:H22)</f>
        <v>2642</v>
      </c>
      <c r="I23" s="19" t="n">
        <f aca="false">SUM(I15:I22)</f>
        <v>2718</v>
      </c>
      <c r="J23" s="19" t="n">
        <f aca="false">SUM(J15:J22)</f>
        <v>2775</v>
      </c>
      <c r="K23" s="19" t="n">
        <f aca="false">SUM(K15:K22)</f>
        <v>2820</v>
      </c>
      <c r="L23" s="19" t="n">
        <f aca="false">SUM(L15:L22)</f>
        <v>2835</v>
      </c>
      <c r="M23" s="19" t="n">
        <f aca="false">SUM(M15:M22)</f>
        <v>2823</v>
      </c>
      <c r="N23" s="19" t="n">
        <f aca="false">SUM(B23:M23)</f>
        <v>31616</v>
      </c>
    </row>
    <row r="24" customFormat="false" ht="15" hidden="false" customHeight="false" outlineLevel="0" collapsed="false">
      <c r="A24" s="23" t="s">
        <v>45</v>
      </c>
      <c r="B24" s="19" t="n">
        <f aca="false">B13-B23</f>
        <v>1293</v>
      </c>
      <c r="C24" s="19" t="n">
        <f aca="false">C13-C23</f>
        <v>1198</v>
      </c>
      <c r="D24" s="19" t="n">
        <f aca="false">D13-D23</f>
        <v>1123</v>
      </c>
      <c r="E24" s="19" t="n">
        <f aca="false">E13-E23</f>
        <v>1153</v>
      </c>
      <c r="F24" s="19" t="n">
        <f aca="false">F13-F23</f>
        <v>1169</v>
      </c>
      <c r="G24" s="19" t="n">
        <f aca="false">G13-G23</f>
        <v>1271</v>
      </c>
      <c r="H24" s="19" t="n">
        <f aca="false">H13-H23</f>
        <v>1335</v>
      </c>
      <c r="I24" s="19" t="n">
        <f aca="false">I13-I23</f>
        <v>1351</v>
      </c>
      <c r="J24" s="19" t="n">
        <f aca="false">J13-J23</f>
        <v>1366</v>
      </c>
      <c r="K24" s="19" t="n">
        <f aca="false">K13-K23</f>
        <v>1280</v>
      </c>
      <c r="L24" s="19" t="n">
        <f aca="false">L13-L23</f>
        <v>1266</v>
      </c>
      <c r="M24" s="19" t="n">
        <f aca="false">M13-M23</f>
        <v>1229</v>
      </c>
      <c r="N24" s="19" t="n">
        <f aca="false">SUM(B24:M24)</f>
        <v>15034</v>
      </c>
    </row>
    <row r="25" customFormat="false" ht="15" hidden="false" customHeight="false" outlineLevel="0" collapsed="false">
      <c r="A25" s="10" t="s">
        <v>46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customFormat="false" ht="15" hidden="false" customHeight="false" outlineLevel="0" collapsed="false">
      <c r="A26" s="12" t="s">
        <v>47</v>
      </c>
      <c r="B26" s="22" t="n">
        <v>88</v>
      </c>
      <c r="C26" s="22" t="n">
        <v>85</v>
      </c>
      <c r="D26" s="22" t="n">
        <v>83</v>
      </c>
      <c r="E26" s="22" t="n">
        <v>84</v>
      </c>
      <c r="F26" s="22" t="n">
        <v>85</v>
      </c>
      <c r="G26" s="22" t="n">
        <v>90</v>
      </c>
      <c r="H26" s="22" t="n">
        <v>94</v>
      </c>
      <c r="I26" s="22" t="n">
        <v>97</v>
      </c>
      <c r="J26" s="22" t="n">
        <v>99</v>
      </c>
      <c r="K26" s="22" t="n">
        <v>98</v>
      </c>
      <c r="L26" s="22" t="n">
        <v>98</v>
      </c>
      <c r="M26" s="22" t="n">
        <v>97</v>
      </c>
      <c r="N26" s="15" t="n">
        <f aca="false">SUM(B26:M26)</f>
        <v>1098</v>
      </c>
    </row>
    <row r="27" customFormat="false" ht="15" hidden="false" customHeight="false" outlineLevel="0" collapsed="false">
      <c r="A27" s="12" t="s">
        <v>48</v>
      </c>
      <c r="B27" s="22" t="n">
        <v>185</v>
      </c>
      <c r="C27" s="22" t="n">
        <v>185</v>
      </c>
      <c r="D27" s="22" t="n">
        <v>185</v>
      </c>
      <c r="E27" s="22" t="n">
        <v>185</v>
      </c>
      <c r="F27" s="22" t="n">
        <v>185</v>
      </c>
      <c r="G27" s="22" t="n">
        <v>185</v>
      </c>
      <c r="H27" s="22" t="n">
        <v>185</v>
      </c>
      <c r="I27" s="22" t="n">
        <v>185</v>
      </c>
      <c r="J27" s="22" t="n">
        <v>185</v>
      </c>
      <c r="K27" s="22" t="n">
        <v>185</v>
      </c>
      <c r="L27" s="22" t="n">
        <v>185</v>
      </c>
      <c r="M27" s="22" t="n">
        <v>185</v>
      </c>
      <c r="N27" s="15" t="n">
        <f aca="false">SUM(B27:M27)</f>
        <v>2220</v>
      </c>
    </row>
    <row r="28" customFormat="false" ht="15" hidden="false" customHeight="false" outlineLevel="0" collapsed="false">
      <c r="A28" s="12" t="s">
        <v>49</v>
      </c>
      <c r="B28" s="22" t="n">
        <v>34</v>
      </c>
      <c r="C28" s="22" t="n">
        <v>34</v>
      </c>
      <c r="D28" s="22" t="n">
        <v>34</v>
      </c>
      <c r="E28" s="22" t="n">
        <v>34</v>
      </c>
      <c r="F28" s="22" t="n">
        <v>34</v>
      </c>
      <c r="G28" s="22" t="n">
        <v>34</v>
      </c>
      <c r="H28" s="22" t="n">
        <v>34</v>
      </c>
      <c r="I28" s="22" t="n">
        <v>34</v>
      </c>
      <c r="J28" s="22" t="n">
        <v>34</v>
      </c>
      <c r="K28" s="22" t="n">
        <v>34</v>
      </c>
      <c r="L28" s="22" t="n">
        <v>34</v>
      </c>
      <c r="M28" s="22" t="n">
        <v>34</v>
      </c>
      <c r="N28" s="15" t="n">
        <f aca="false">SUM(B28:M28)</f>
        <v>408</v>
      </c>
    </row>
    <row r="29" customFormat="false" ht="15" hidden="false" customHeight="false" outlineLevel="0" collapsed="false">
      <c r="A29" s="12" t="s">
        <v>50</v>
      </c>
      <c r="B29" s="22" t="n">
        <v>27</v>
      </c>
      <c r="C29" s="22" t="n">
        <v>27</v>
      </c>
      <c r="D29" s="22" t="n">
        <v>27</v>
      </c>
      <c r="E29" s="22" t="n">
        <v>27</v>
      </c>
      <c r="F29" s="22" t="n">
        <v>27</v>
      </c>
      <c r="G29" s="22" t="n">
        <v>27</v>
      </c>
      <c r="H29" s="22" t="n">
        <v>27</v>
      </c>
      <c r="I29" s="22" t="n">
        <v>27</v>
      </c>
      <c r="J29" s="22" t="n">
        <v>27</v>
      </c>
      <c r="K29" s="22" t="n">
        <v>27</v>
      </c>
      <c r="L29" s="22" t="n">
        <v>27</v>
      </c>
      <c r="M29" s="22" t="n">
        <v>27</v>
      </c>
      <c r="N29" s="15" t="n">
        <f aca="false">SUM(B29:M29)</f>
        <v>324</v>
      </c>
    </row>
    <row r="30" customFormat="false" ht="15" hidden="false" customHeight="false" outlineLevel="0" collapsed="false">
      <c r="A30" s="12" t="s">
        <v>51</v>
      </c>
      <c r="B30" s="22" t="n">
        <v>31</v>
      </c>
      <c r="C30" s="22" t="n">
        <v>31</v>
      </c>
      <c r="D30" s="22" t="n">
        <v>31</v>
      </c>
      <c r="E30" s="22" t="n">
        <v>31</v>
      </c>
      <c r="F30" s="22" t="n">
        <v>31</v>
      </c>
      <c r="G30" s="22" t="n">
        <v>31</v>
      </c>
      <c r="H30" s="22" t="n">
        <v>31</v>
      </c>
      <c r="I30" s="22" t="n">
        <v>31</v>
      </c>
      <c r="J30" s="22" t="n">
        <v>31</v>
      </c>
      <c r="K30" s="22" t="n">
        <v>31</v>
      </c>
      <c r="L30" s="22" t="n">
        <v>31</v>
      </c>
      <c r="M30" s="22" t="n">
        <v>31</v>
      </c>
      <c r="N30" s="15" t="n">
        <f aca="false">SUM(B30:M30)</f>
        <v>372</v>
      </c>
    </row>
    <row r="31" customFormat="false" ht="15" hidden="false" customHeight="false" outlineLevel="0" collapsed="false">
      <c r="A31" s="12" t="s">
        <v>52</v>
      </c>
      <c r="B31" s="22" t="n">
        <v>50</v>
      </c>
      <c r="C31" s="22" t="n">
        <v>50</v>
      </c>
      <c r="D31" s="22" t="n">
        <v>50</v>
      </c>
      <c r="E31" s="22" t="n">
        <v>50</v>
      </c>
      <c r="F31" s="22" t="n">
        <v>50</v>
      </c>
      <c r="G31" s="22" t="n">
        <v>50</v>
      </c>
      <c r="H31" s="22" t="n">
        <v>50</v>
      </c>
      <c r="I31" s="22" t="n">
        <v>50</v>
      </c>
      <c r="J31" s="22" t="n">
        <v>50</v>
      </c>
      <c r="K31" s="22" t="n">
        <v>50</v>
      </c>
      <c r="L31" s="22" t="n">
        <v>50</v>
      </c>
      <c r="M31" s="22" t="n">
        <v>50</v>
      </c>
      <c r="N31" s="15" t="n">
        <f aca="false">SUM(B31:M31)</f>
        <v>600</v>
      </c>
    </row>
    <row r="32" customFormat="false" ht="15" hidden="false" customHeight="false" outlineLevel="0" collapsed="false">
      <c r="A32" s="12" t="s">
        <v>53</v>
      </c>
      <c r="B32" s="22" t="n">
        <v>25</v>
      </c>
      <c r="C32" s="22" t="n">
        <v>25</v>
      </c>
      <c r="D32" s="22" t="n">
        <v>25</v>
      </c>
      <c r="E32" s="22" t="n">
        <v>25</v>
      </c>
      <c r="F32" s="22" t="n">
        <v>25</v>
      </c>
      <c r="G32" s="22" t="n">
        <v>25</v>
      </c>
      <c r="H32" s="22" t="n">
        <v>25</v>
      </c>
      <c r="I32" s="22" t="n">
        <v>25</v>
      </c>
      <c r="J32" s="22" t="n">
        <v>25</v>
      </c>
      <c r="K32" s="22" t="n">
        <v>25</v>
      </c>
      <c r="L32" s="22" t="n">
        <v>25</v>
      </c>
      <c r="M32" s="22" t="n">
        <v>25</v>
      </c>
      <c r="N32" s="15" t="n">
        <f aca="false">SUM(B32:M32)</f>
        <v>300</v>
      </c>
    </row>
    <row r="33" customFormat="false" ht="15" hidden="false" customHeight="false" outlineLevel="0" collapsed="false">
      <c r="A33" s="23" t="s">
        <v>54</v>
      </c>
      <c r="B33" s="19" t="n">
        <f aca="false">SUM(B26:B32)</f>
        <v>440</v>
      </c>
      <c r="C33" s="19" t="n">
        <f aca="false">SUM(C26:C32)</f>
        <v>437</v>
      </c>
      <c r="D33" s="19" t="n">
        <f aca="false">SUM(D26:D32)</f>
        <v>435</v>
      </c>
      <c r="E33" s="19" t="n">
        <f aca="false">SUM(E26:E32)</f>
        <v>436</v>
      </c>
      <c r="F33" s="19" t="n">
        <f aca="false">SUM(F26:F32)</f>
        <v>437</v>
      </c>
      <c r="G33" s="19" t="n">
        <f aca="false">SUM(G26:G32)</f>
        <v>442</v>
      </c>
      <c r="H33" s="19" t="n">
        <f aca="false">SUM(H26:H32)</f>
        <v>446</v>
      </c>
      <c r="I33" s="19" t="n">
        <f aca="false">SUM(I26:I32)</f>
        <v>449</v>
      </c>
      <c r="J33" s="19" t="n">
        <f aca="false">SUM(J26:J32)</f>
        <v>451</v>
      </c>
      <c r="K33" s="19" t="n">
        <f aca="false">SUM(K26:K32)</f>
        <v>450</v>
      </c>
      <c r="L33" s="19" t="n">
        <f aca="false">SUM(L26:L32)</f>
        <v>450</v>
      </c>
      <c r="M33" s="19" t="n">
        <f aca="false">SUM(M26:M32)</f>
        <v>449</v>
      </c>
      <c r="N33" s="19" t="n">
        <f aca="false">SUM(B33:M33)</f>
        <v>5322</v>
      </c>
    </row>
    <row r="34" customFormat="false" ht="15" hidden="false" customHeight="false" outlineLevel="0" collapsed="false">
      <c r="A34" s="23" t="s">
        <v>55</v>
      </c>
      <c r="B34" s="19" t="n">
        <f aca="false">B24-B33</f>
        <v>853</v>
      </c>
      <c r="C34" s="19" t="n">
        <f aca="false">C24-C33</f>
        <v>761</v>
      </c>
      <c r="D34" s="19" t="n">
        <f aca="false">D24-D33</f>
        <v>688</v>
      </c>
      <c r="E34" s="19" t="n">
        <f aca="false">E24-E33</f>
        <v>717</v>
      </c>
      <c r="F34" s="19" t="n">
        <f aca="false">F24-F33</f>
        <v>732</v>
      </c>
      <c r="G34" s="19" t="n">
        <f aca="false">G24-G33</f>
        <v>829</v>
      </c>
      <c r="H34" s="19" t="n">
        <f aca="false">H24-H33</f>
        <v>889</v>
      </c>
      <c r="I34" s="19" t="n">
        <f aca="false">I24-I33</f>
        <v>902</v>
      </c>
      <c r="J34" s="19" t="n">
        <f aca="false">J24-J33</f>
        <v>915</v>
      </c>
      <c r="K34" s="19" t="n">
        <f aca="false">K24-K33</f>
        <v>830</v>
      </c>
      <c r="L34" s="19" t="n">
        <f aca="false">L24-L33</f>
        <v>816</v>
      </c>
      <c r="M34" s="19" t="n">
        <f aca="false">M24-M33</f>
        <v>780</v>
      </c>
      <c r="N34" s="19" t="n">
        <f aca="false">SUM(B34:M34)</f>
        <v>9712</v>
      </c>
    </row>
    <row r="35" customFormat="false" ht="15" hidden="false" customHeight="false" outlineLevel="0" collapsed="false">
      <c r="A35" s="12" t="s">
        <v>56</v>
      </c>
      <c r="B35" s="24" t="n">
        <f aca="false">IF(B13=0,0,B34/B13)</f>
        <v>0.223181580324437</v>
      </c>
      <c r="C35" s="24" t="n">
        <f aca="false">IF(C13=0,0,C34/C13)</f>
        <v>0.20679347826087</v>
      </c>
      <c r="D35" s="24" t="n">
        <f aca="false">IF(D13=0,0,D34/D13)</f>
        <v>0.192017862126709</v>
      </c>
      <c r="E35" s="24" t="n">
        <f aca="false">IF(E13=0,0,E34/E13)</f>
        <v>0.198066298342541</v>
      </c>
      <c r="F35" s="24" t="n">
        <f aca="false">IF(F13=0,0,F34/F13)</f>
        <v>0.200933296733461</v>
      </c>
      <c r="G35" s="24" t="n">
        <f aca="false">IF(G13=0,0,G34/G13)</f>
        <v>0.214655618850337</v>
      </c>
      <c r="H35" s="24" t="n">
        <f aca="false">IF(H13=0,0,H34/H13)</f>
        <v>0.223535328136787</v>
      </c>
      <c r="I35" s="24" t="n">
        <f aca="false">IF(I13=0,0,I34/I13)</f>
        <v>0.221676087490784</v>
      </c>
      <c r="J35" s="24" t="n">
        <f aca="false">IF(J13=0,0,J34/J13)</f>
        <v>0.220961120502294</v>
      </c>
      <c r="K35" s="24" t="n">
        <f aca="false">IF(K13=0,0,K34/K13)</f>
        <v>0.202439024390244</v>
      </c>
      <c r="L35" s="24" t="n">
        <f aca="false">IF(L13=0,0,L34/L13)</f>
        <v>0.198975859546452</v>
      </c>
      <c r="M35" s="24" t="n">
        <f aca="false">IF(M13=0,0,M34/M13)</f>
        <v>0.192497532082922</v>
      </c>
      <c r="N35" s="24" t="n">
        <f aca="false">IF(N13=0,0,N34/N13)</f>
        <v>0.208188638799571</v>
      </c>
    </row>
    <row r="36" customFormat="false" ht="15" hidden="false" customHeight="false" outlineLevel="0" collapsed="false">
      <c r="A36" s="12" t="s">
        <v>58</v>
      </c>
      <c r="B36" s="22" t="n">
        <v>267</v>
      </c>
      <c r="C36" s="22" t="n">
        <v>267</v>
      </c>
      <c r="D36" s="22" t="n">
        <v>267</v>
      </c>
      <c r="E36" s="22" t="n">
        <v>267</v>
      </c>
      <c r="F36" s="22" t="n">
        <v>267</v>
      </c>
      <c r="G36" s="22" t="n">
        <v>267</v>
      </c>
      <c r="H36" s="22" t="n">
        <v>267</v>
      </c>
      <c r="I36" s="22" t="n">
        <v>267</v>
      </c>
      <c r="J36" s="22" t="n">
        <v>267</v>
      </c>
      <c r="K36" s="22" t="n">
        <v>267</v>
      </c>
      <c r="L36" s="22" t="n">
        <v>267</v>
      </c>
      <c r="M36" s="22" t="n">
        <v>267</v>
      </c>
      <c r="N36" s="15" t="n">
        <f aca="false">SUM(B36:M36)</f>
        <v>3204</v>
      </c>
    </row>
    <row r="37" customFormat="false" ht="15" hidden="false" customHeight="false" outlineLevel="0" collapsed="false">
      <c r="A37" s="12" t="s">
        <v>59</v>
      </c>
      <c r="B37" s="22" t="n">
        <v>192</v>
      </c>
      <c r="C37" s="22" t="n">
        <v>192</v>
      </c>
      <c r="D37" s="22" t="n">
        <v>192</v>
      </c>
      <c r="E37" s="22" t="n">
        <v>192</v>
      </c>
      <c r="F37" s="22" t="n">
        <v>192</v>
      </c>
      <c r="G37" s="22" t="n">
        <v>192</v>
      </c>
      <c r="H37" s="22" t="n">
        <v>192</v>
      </c>
      <c r="I37" s="22" t="n">
        <v>192</v>
      </c>
      <c r="J37" s="22" t="n">
        <v>192</v>
      </c>
      <c r="K37" s="22" t="n">
        <v>192</v>
      </c>
      <c r="L37" s="22" t="n">
        <v>192</v>
      </c>
      <c r="M37" s="22" t="n">
        <v>192</v>
      </c>
      <c r="N37" s="15" t="n">
        <f aca="false">SUM(B37:M37)</f>
        <v>2304</v>
      </c>
    </row>
    <row r="38" customFormat="false" ht="15" hidden="false" customHeight="false" outlineLevel="0" collapsed="false">
      <c r="A38" s="12" t="s">
        <v>60</v>
      </c>
      <c r="B38" s="22" t="n">
        <v>133</v>
      </c>
      <c r="C38" s="22" t="n">
        <v>133</v>
      </c>
      <c r="D38" s="22" t="n">
        <v>133</v>
      </c>
      <c r="E38" s="22" t="n">
        <v>133</v>
      </c>
      <c r="F38" s="22" t="n">
        <v>133</v>
      </c>
      <c r="G38" s="22" t="n">
        <v>133</v>
      </c>
      <c r="H38" s="22" t="n">
        <v>133</v>
      </c>
      <c r="I38" s="22" t="n">
        <v>133</v>
      </c>
      <c r="J38" s="22" t="n">
        <v>133</v>
      </c>
      <c r="K38" s="22" t="n">
        <v>133</v>
      </c>
      <c r="L38" s="22" t="n">
        <v>133</v>
      </c>
      <c r="M38" s="22" t="n">
        <v>133</v>
      </c>
      <c r="N38" s="15" t="n">
        <f aca="false">SUM(B38:M38)</f>
        <v>1596</v>
      </c>
    </row>
    <row r="39" customFormat="false" ht="15" hidden="false" customHeight="false" outlineLevel="0" collapsed="false">
      <c r="A39" s="12" t="s">
        <v>61</v>
      </c>
      <c r="B39" s="22" t="n">
        <v>333</v>
      </c>
      <c r="C39" s="22" t="n">
        <v>333</v>
      </c>
      <c r="D39" s="22" t="n">
        <v>333</v>
      </c>
      <c r="E39" s="22" t="n">
        <v>333</v>
      </c>
      <c r="F39" s="22" t="n">
        <v>333</v>
      </c>
      <c r="G39" s="22" t="n">
        <v>333</v>
      </c>
      <c r="H39" s="22" t="n">
        <v>333</v>
      </c>
      <c r="I39" s="22" t="n">
        <v>333</v>
      </c>
      <c r="J39" s="22" t="n">
        <v>333</v>
      </c>
      <c r="K39" s="22" t="n">
        <v>333</v>
      </c>
      <c r="L39" s="22" t="n">
        <v>333</v>
      </c>
      <c r="M39" s="22" t="n">
        <v>333</v>
      </c>
      <c r="N39" s="15" t="n">
        <f aca="false">SUM(B39:M39)</f>
        <v>3996</v>
      </c>
    </row>
    <row r="40" customFormat="false" ht="15" hidden="false" customHeight="false" outlineLevel="0" collapsed="false">
      <c r="A40" s="12" t="s">
        <v>62</v>
      </c>
      <c r="B40" s="22" t="n">
        <v>8</v>
      </c>
      <c r="C40" s="22" t="n">
        <v>8</v>
      </c>
      <c r="D40" s="22" t="n">
        <v>8</v>
      </c>
      <c r="E40" s="22" t="n">
        <v>8</v>
      </c>
      <c r="F40" s="22" t="n">
        <v>8</v>
      </c>
      <c r="G40" s="22" t="n">
        <v>8</v>
      </c>
      <c r="H40" s="22" t="n">
        <v>8</v>
      </c>
      <c r="I40" s="22" t="n">
        <v>8</v>
      </c>
      <c r="J40" s="22" t="n">
        <v>8</v>
      </c>
      <c r="K40" s="22" t="n">
        <v>8</v>
      </c>
      <c r="L40" s="22" t="n">
        <v>8</v>
      </c>
      <c r="M40" s="22" t="n">
        <v>8</v>
      </c>
      <c r="N40" s="15" t="n">
        <f aca="false">SUM(B40:M40)</f>
        <v>96</v>
      </c>
    </row>
    <row r="41" customFormat="false" ht="15" hidden="false" customHeight="false" outlineLevel="0" collapsed="false">
      <c r="A41" s="23" t="s">
        <v>63</v>
      </c>
      <c r="B41" s="19" t="n">
        <f aca="false">B34-SUM(B36:B40)</f>
        <v>-80</v>
      </c>
      <c r="C41" s="19" t="n">
        <f aca="false">C34-SUM(C36:C40)</f>
        <v>-172</v>
      </c>
      <c r="D41" s="19" t="n">
        <f aca="false">D34-SUM(D36:D40)</f>
        <v>-245</v>
      </c>
      <c r="E41" s="19" t="n">
        <f aca="false">E34-SUM(E36:E40)</f>
        <v>-216</v>
      </c>
      <c r="F41" s="19" t="n">
        <f aca="false">F34-SUM(F36:F40)</f>
        <v>-201</v>
      </c>
      <c r="G41" s="19" t="n">
        <f aca="false">G34-SUM(G36:G40)</f>
        <v>-104</v>
      </c>
      <c r="H41" s="19" t="n">
        <f aca="false">H34-SUM(H36:H40)</f>
        <v>-44</v>
      </c>
      <c r="I41" s="19" t="n">
        <f aca="false">I34-SUM(I36:I40)</f>
        <v>-31</v>
      </c>
      <c r="J41" s="19" t="n">
        <f aca="false">J34-SUM(J36:J40)</f>
        <v>-18</v>
      </c>
      <c r="K41" s="19" t="n">
        <f aca="false">K34-SUM(K36:K40)</f>
        <v>-103</v>
      </c>
      <c r="L41" s="19" t="n">
        <f aca="false">L34-SUM(L36:L40)</f>
        <v>-117</v>
      </c>
      <c r="M41" s="19" t="n">
        <f aca="false">M34-SUM(M36:M40)</f>
        <v>-153</v>
      </c>
      <c r="N41" s="19" t="n">
        <f aca="false">SUM(B41:M41)</f>
        <v>-1484</v>
      </c>
    </row>
    <row r="44" customFormat="false" ht="15" hidden="false" customHeight="false" outlineLevel="0" collapsed="false">
      <c r="A44" s="9" t="s">
        <v>80</v>
      </c>
      <c r="B44" s="9" t="s">
        <v>67</v>
      </c>
      <c r="C44" s="9" t="s">
        <v>68</v>
      </c>
      <c r="D44" s="9" t="s">
        <v>69</v>
      </c>
      <c r="E44" s="9" t="s">
        <v>70</v>
      </c>
      <c r="F44" s="9" t="s">
        <v>71</v>
      </c>
      <c r="G44" s="9" t="s">
        <v>72</v>
      </c>
      <c r="H44" s="9" t="s">
        <v>73</v>
      </c>
      <c r="I44" s="9" t="s">
        <v>74</v>
      </c>
      <c r="J44" s="9" t="s">
        <v>75</v>
      </c>
      <c r="K44" s="9" t="s">
        <v>76</v>
      </c>
      <c r="L44" s="9" t="s">
        <v>77</v>
      </c>
      <c r="M44" s="9" t="s">
        <v>78</v>
      </c>
      <c r="N44" s="9" t="s">
        <v>79</v>
      </c>
    </row>
    <row r="45" customFormat="false" ht="15" hidden="false" customHeight="false" outlineLevel="0" collapsed="false">
      <c r="A45" s="10" t="s">
        <v>28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customFormat="false" ht="15" hidden="false" customHeight="false" outlineLevel="0" collapsed="false">
      <c r="A46" s="12" t="s">
        <v>29</v>
      </c>
      <c r="B46" s="22" t="n">
        <v>2160</v>
      </c>
      <c r="C46" s="22" t="n">
        <v>2117</v>
      </c>
      <c r="D46" s="22" t="n">
        <v>2095</v>
      </c>
      <c r="E46" s="22" t="n">
        <v>2167</v>
      </c>
      <c r="F46" s="22" t="n">
        <v>2167</v>
      </c>
      <c r="G46" s="22" t="n">
        <v>2235</v>
      </c>
      <c r="H46" s="22" t="n">
        <v>2257</v>
      </c>
      <c r="I46" s="22" t="n">
        <v>2302</v>
      </c>
      <c r="J46" s="22" t="n">
        <v>2325</v>
      </c>
      <c r="K46" s="22" t="n">
        <v>2325</v>
      </c>
      <c r="L46" s="22" t="n">
        <v>2325</v>
      </c>
      <c r="M46" s="22" t="n">
        <v>2302</v>
      </c>
      <c r="N46" s="15" t="n">
        <f aca="false">SUM(B46:M46)</f>
        <v>26777</v>
      </c>
    </row>
    <row r="47" customFormat="false" ht="15" hidden="false" customHeight="false" outlineLevel="0" collapsed="false">
      <c r="A47" s="12" t="s">
        <v>30</v>
      </c>
      <c r="B47" s="22" t="n">
        <v>1015</v>
      </c>
      <c r="C47" s="22" t="n">
        <v>915</v>
      </c>
      <c r="D47" s="22" t="n">
        <v>856</v>
      </c>
      <c r="E47" s="22" t="n">
        <v>832</v>
      </c>
      <c r="F47" s="22" t="n">
        <v>853</v>
      </c>
      <c r="G47" s="22" t="n">
        <v>988</v>
      </c>
      <c r="H47" s="22" t="n">
        <v>1092</v>
      </c>
      <c r="I47" s="22" t="n">
        <v>1165</v>
      </c>
      <c r="J47" s="22" t="n">
        <v>1185</v>
      </c>
      <c r="K47" s="22" t="n">
        <v>1175</v>
      </c>
      <c r="L47" s="22" t="n">
        <v>1165</v>
      </c>
      <c r="M47" s="22" t="n">
        <v>1113</v>
      </c>
      <c r="N47" s="15" t="n">
        <f aca="false">SUM(B47:M47)</f>
        <v>12354</v>
      </c>
    </row>
    <row r="48" customFormat="false" ht="15" hidden="false" customHeight="false" outlineLevel="0" collapsed="false">
      <c r="A48" s="12" t="s">
        <v>31</v>
      </c>
      <c r="B48" s="22" t="n">
        <v>270</v>
      </c>
      <c r="C48" s="22" t="n">
        <v>258</v>
      </c>
      <c r="D48" s="22" t="n">
        <v>251</v>
      </c>
      <c r="E48" s="22" t="n">
        <v>255</v>
      </c>
      <c r="F48" s="22" t="n">
        <v>257</v>
      </c>
      <c r="G48" s="22" t="n">
        <v>274</v>
      </c>
      <c r="H48" s="22" t="n">
        <v>285</v>
      </c>
      <c r="I48" s="22" t="n">
        <v>295</v>
      </c>
      <c r="J48" s="22" t="n">
        <v>298</v>
      </c>
      <c r="K48" s="22" t="n">
        <v>297</v>
      </c>
      <c r="L48" s="22" t="n">
        <v>297</v>
      </c>
      <c r="M48" s="22" t="n">
        <v>290</v>
      </c>
      <c r="N48" s="15" t="n">
        <f aca="false">SUM(B48:M48)</f>
        <v>3327</v>
      </c>
    </row>
    <row r="49" customFormat="false" ht="15" hidden="false" customHeight="false" outlineLevel="0" collapsed="false">
      <c r="A49" s="12" t="s">
        <v>32</v>
      </c>
      <c r="B49" s="22" t="n">
        <v>264</v>
      </c>
      <c r="C49" s="22" t="n">
        <v>264</v>
      </c>
      <c r="D49" s="22" t="n">
        <v>264</v>
      </c>
      <c r="E49" s="22" t="n">
        <v>264</v>
      </c>
      <c r="F49" s="22" t="n">
        <v>264</v>
      </c>
      <c r="G49" s="22" t="n">
        <v>264</v>
      </c>
      <c r="H49" s="22" t="n">
        <v>264</v>
      </c>
      <c r="I49" s="22" t="n">
        <v>264</v>
      </c>
      <c r="J49" s="22" t="n">
        <v>264</v>
      </c>
      <c r="K49" s="22" t="n">
        <v>264</v>
      </c>
      <c r="L49" s="22" t="n">
        <v>264</v>
      </c>
      <c r="M49" s="22" t="n">
        <v>264</v>
      </c>
      <c r="N49" s="15" t="n">
        <f aca="false">SUM(B49:M49)</f>
        <v>3168</v>
      </c>
    </row>
    <row r="50" customFormat="false" ht="15" hidden="false" customHeight="false" outlineLevel="0" collapsed="false">
      <c r="A50" s="12" t="s">
        <v>33</v>
      </c>
      <c r="B50" s="22" t="n">
        <v>115</v>
      </c>
      <c r="C50" s="22" t="n">
        <v>115</v>
      </c>
      <c r="D50" s="22" t="n">
        <v>115</v>
      </c>
      <c r="E50" s="22" t="n">
        <v>115</v>
      </c>
      <c r="F50" s="22" t="n">
        <v>115</v>
      </c>
      <c r="G50" s="22" t="n">
        <v>115</v>
      </c>
      <c r="H50" s="22" t="n">
        <v>115</v>
      </c>
      <c r="I50" s="22" t="n">
        <v>115</v>
      </c>
      <c r="J50" s="22" t="n">
        <v>115</v>
      </c>
      <c r="K50" s="22" t="n">
        <v>115</v>
      </c>
      <c r="L50" s="22" t="n">
        <v>115</v>
      </c>
      <c r="M50" s="22" t="n">
        <v>115</v>
      </c>
      <c r="N50" s="15" t="n">
        <f aca="false">SUM(B50:M50)</f>
        <v>1380</v>
      </c>
    </row>
    <row r="51" customFormat="false" ht="15" hidden="false" customHeight="false" outlineLevel="0" collapsed="false">
      <c r="A51" s="23" t="s">
        <v>34</v>
      </c>
      <c r="B51" s="19" t="n">
        <f aca="false">SUM(B46:B50)</f>
        <v>3824</v>
      </c>
      <c r="C51" s="19" t="n">
        <f aca="false">SUM(C46:C50)</f>
        <v>3669</v>
      </c>
      <c r="D51" s="19" t="n">
        <f aca="false">SUM(D46:D50)</f>
        <v>3581</v>
      </c>
      <c r="E51" s="19" t="n">
        <f aca="false">SUM(E46:E50)</f>
        <v>3633</v>
      </c>
      <c r="F51" s="19" t="n">
        <f aca="false">SUM(F46:F50)</f>
        <v>3656</v>
      </c>
      <c r="G51" s="19" t="n">
        <f aca="false">SUM(G46:G50)</f>
        <v>3876</v>
      </c>
      <c r="H51" s="19" t="n">
        <f aca="false">SUM(H46:H50)</f>
        <v>4013</v>
      </c>
      <c r="I51" s="19" t="n">
        <f aca="false">SUM(I46:I50)</f>
        <v>4141</v>
      </c>
      <c r="J51" s="19" t="n">
        <f aca="false">SUM(J46:J50)</f>
        <v>4187</v>
      </c>
      <c r="K51" s="19" t="n">
        <f aca="false">SUM(K46:K50)</f>
        <v>4176</v>
      </c>
      <c r="L51" s="19" t="n">
        <f aca="false">SUM(L46:L50)</f>
        <v>4166</v>
      </c>
      <c r="M51" s="19" t="n">
        <f aca="false">SUM(M46:M50)</f>
        <v>4084</v>
      </c>
      <c r="N51" s="19" t="n">
        <f aca="false">SUM(B51:M51)</f>
        <v>47006</v>
      </c>
    </row>
    <row r="52" customFormat="false" ht="15" hidden="false" customHeight="false" outlineLevel="0" collapsed="false">
      <c r="A52" s="10" t="s">
        <v>35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customFormat="false" ht="15" hidden="false" customHeight="false" outlineLevel="0" collapsed="false">
      <c r="A53" s="12" t="s">
        <v>36</v>
      </c>
      <c r="B53" s="22" t="n">
        <v>786</v>
      </c>
      <c r="C53" s="22" t="n">
        <v>751</v>
      </c>
      <c r="D53" s="22" t="n">
        <v>731</v>
      </c>
      <c r="E53" s="22" t="n">
        <v>743</v>
      </c>
      <c r="F53" s="22" t="n">
        <v>748</v>
      </c>
      <c r="G53" s="22" t="n">
        <v>798</v>
      </c>
      <c r="H53" s="22" t="n">
        <v>829</v>
      </c>
      <c r="I53" s="22" t="n">
        <v>859</v>
      </c>
      <c r="J53" s="22" t="n">
        <v>869</v>
      </c>
      <c r="K53" s="22" t="n">
        <v>867</v>
      </c>
      <c r="L53" s="22" t="n">
        <v>864</v>
      </c>
      <c r="M53" s="22" t="n">
        <v>846</v>
      </c>
      <c r="N53" s="15" t="n">
        <f aca="false">SUM(B53:M53)</f>
        <v>9691</v>
      </c>
    </row>
    <row r="54" customFormat="false" ht="15" hidden="false" customHeight="false" outlineLevel="0" collapsed="false">
      <c r="A54" s="12" t="s">
        <v>37</v>
      </c>
      <c r="B54" s="22" t="n">
        <v>750</v>
      </c>
      <c r="C54" s="22" t="n">
        <v>735</v>
      </c>
      <c r="D54" s="22" t="n">
        <v>728</v>
      </c>
      <c r="E54" s="22" t="n">
        <v>720</v>
      </c>
      <c r="F54" s="22" t="n">
        <v>720</v>
      </c>
      <c r="G54" s="22" t="n">
        <v>743</v>
      </c>
      <c r="H54" s="22" t="n">
        <v>750</v>
      </c>
      <c r="I54" s="22" t="n">
        <v>765</v>
      </c>
      <c r="J54" s="22" t="n">
        <v>773</v>
      </c>
      <c r="K54" s="22" t="n">
        <v>773</v>
      </c>
      <c r="L54" s="22" t="n">
        <v>773</v>
      </c>
      <c r="M54" s="22" t="n">
        <v>765</v>
      </c>
      <c r="N54" s="15" t="n">
        <f aca="false">SUM(B54:M54)</f>
        <v>8995</v>
      </c>
    </row>
    <row r="55" customFormat="false" ht="15" hidden="false" customHeight="false" outlineLevel="0" collapsed="false">
      <c r="A55" s="12" t="s">
        <v>38</v>
      </c>
      <c r="B55" s="22" t="n">
        <v>316</v>
      </c>
      <c r="C55" s="22" t="n">
        <v>310</v>
      </c>
      <c r="D55" s="22" t="n">
        <v>307</v>
      </c>
      <c r="E55" s="22" t="n">
        <v>303</v>
      </c>
      <c r="F55" s="22" t="n">
        <v>303</v>
      </c>
      <c r="G55" s="22" t="n">
        <v>313</v>
      </c>
      <c r="H55" s="22" t="n">
        <v>316</v>
      </c>
      <c r="I55" s="22" t="n">
        <v>322</v>
      </c>
      <c r="J55" s="22" t="n">
        <v>325</v>
      </c>
      <c r="K55" s="22" t="n">
        <v>325</v>
      </c>
      <c r="L55" s="22" t="n">
        <v>325</v>
      </c>
      <c r="M55" s="22" t="n">
        <v>322</v>
      </c>
      <c r="N55" s="15" t="n">
        <f aca="false">SUM(B55:M55)</f>
        <v>3787</v>
      </c>
    </row>
    <row r="56" customFormat="false" ht="15" hidden="false" customHeight="false" outlineLevel="0" collapsed="false">
      <c r="A56" s="12" t="s">
        <v>39</v>
      </c>
      <c r="B56" s="22" t="n">
        <v>336</v>
      </c>
      <c r="C56" s="22" t="n">
        <v>336</v>
      </c>
      <c r="D56" s="22" t="n">
        <v>336</v>
      </c>
      <c r="E56" s="22" t="n">
        <v>336</v>
      </c>
      <c r="F56" s="22" t="n">
        <v>336</v>
      </c>
      <c r="G56" s="22" t="n">
        <v>336</v>
      </c>
      <c r="H56" s="22" t="n">
        <v>336</v>
      </c>
      <c r="I56" s="22" t="n">
        <v>336</v>
      </c>
      <c r="J56" s="22" t="n">
        <v>336</v>
      </c>
      <c r="K56" s="22" t="n">
        <v>336</v>
      </c>
      <c r="L56" s="22" t="n">
        <v>336</v>
      </c>
      <c r="M56" s="22" t="n">
        <v>336</v>
      </c>
      <c r="N56" s="15" t="n">
        <f aca="false">SUM(B56:M56)</f>
        <v>4032</v>
      </c>
    </row>
    <row r="57" customFormat="false" ht="15" hidden="false" customHeight="false" outlineLevel="0" collapsed="false">
      <c r="A57" s="12" t="s">
        <v>40</v>
      </c>
      <c r="B57" s="22" t="n">
        <v>0</v>
      </c>
      <c r="C57" s="22" t="n">
        <v>0</v>
      </c>
      <c r="D57" s="22" t="n">
        <v>0</v>
      </c>
      <c r="E57" s="22" t="n">
        <v>0</v>
      </c>
      <c r="F57" s="22" t="n">
        <v>0</v>
      </c>
      <c r="G57" s="22" t="n">
        <v>0</v>
      </c>
      <c r="H57" s="22" t="n">
        <v>0</v>
      </c>
      <c r="I57" s="22" t="n">
        <v>0</v>
      </c>
      <c r="J57" s="22" t="n">
        <v>0</v>
      </c>
      <c r="K57" s="22" t="n">
        <v>0</v>
      </c>
      <c r="L57" s="22" t="n">
        <v>0</v>
      </c>
      <c r="M57" s="22" t="n">
        <v>0</v>
      </c>
      <c r="N57" s="15" t="n">
        <f aca="false">SUM(B57:M57)</f>
        <v>0</v>
      </c>
    </row>
    <row r="58" customFormat="false" ht="15" hidden="false" customHeight="false" outlineLevel="0" collapsed="false">
      <c r="A58" s="12" t="s">
        <v>41</v>
      </c>
      <c r="B58" s="22" t="n">
        <v>48</v>
      </c>
      <c r="C58" s="22" t="n">
        <v>45</v>
      </c>
      <c r="D58" s="22" t="n">
        <v>44</v>
      </c>
      <c r="E58" s="22" t="n">
        <v>45</v>
      </c>
      <c r="F58" s="22" t="n">
        <v>45</v>
      </c>
      <c r="G58" s="22" t="n">
        <v>48</v>
      </c>
      <c r="H58" s="22" t="n">
        <v>50</v>
      </c>
      <c r="I58" s="22" t="n">
        <v>52</v>
      </c>
      <c r="J58" s="22" t="n">
        <v>53</v>
      </c>
      <c r="K58" s="22" t="n">
        <v>52</v>
      </c>
      <c r="L58" s="22" t="n">
        <v>52</v>
      </c>
      <c r="M58" s="22" t="n">
        <v>51</v>
      </c>
      <c r="N58" s="15" t="n">
        <f aca="false">SUM(B58:M58)</f>
        <v>585</v>
      </c>
    </row>
    <row r="59" customFormat="false" ht="15" hidden="false" customHeight="false" outlineLevel="0" collapsed="false">
      <c r="A59" s="12" t="s">
        <v>42</v>
      </c>
      <c r="B59" s="22" t="n">
        <v>195</v>
      </c>
      <c r="C59" s="22" t="n">
        <v>195</v>
      </c>
      <c r="D59" s="22" t="n">
        <v>195</v>
      </c>
      <c r="E59" s="22" t="n">
        <v>195</v>
      </c>
      <c r="F59" s="22" t="n">
        <v>195</v>
      </c>
      <c r="G59" s="22" t="n">
        <v>195</v>
      </c>
      <c r="H59" s="22" t="n">
        <v>195</v>
      </c>
      <c r="I59" s="22" t="n">
        <v>195</v>
      </c>
      <c r="J59" s="22" t="n">
        <v>195</v>
      </c>
      <c r="K59" s="22" t="n">
        <v>195</v>
      </c>
      <c r="L59" s="22" t="n">
        <v>195</v>
      </c>
      <c r="M59" s="22" t="n">
        <v>195</v>
      </c>
      <c r="N59" s="15" t="n">
        <f aca="false">SUM(B59:M59)</f>
        <v>2340</v>
      </c>
    </row>
    <row r="60" customFormat="false" ht="15" hidden="false" customHeight="false" outlineLevel="0" collapsed="false">
      <c r="A60" s="12" t="s">
        <v>43</v>
      </c>
      <c r="B60" s="22" t="n">
        <v>111</v>
      </c>
      <c r="C60" s="22" t="n">
        <v>106</v>
      </c>
      <c r="D60" s="22" t="n">
        <v>103</v>
      </c>
      <c r="E60" s="22" t="n">
        <v>105</v>
      </c>
      <c r="F60" s="22" t="n">
        <v>106</v>
      </c>
      <c r="G60" s="22" t="n">
        <v>112</v>
      </c>
      <c r="H60" s="22" t="n">
        <v>116</v>
      </c>
      <c r="I60" s="22" t="n">
        <v>120</v>
      </c>
      <c r="J60" s="22" t="n">
        <v>121</v>
      </c>
      <c r="K60" s="22" t="n">
        <v>121</v>
      </c>
      <c r="L60" s="22" t="n">
        <v>121</v>
      </c>
      <c r="M60" s="22" t="n">
        <v>118</v>
      </c>
      <c r="N60" s="15" t="n">
        <f aca="false">SUM(B60:M60)</f>
        <v>1360</v>
      </c>
    </row>
    <row r="61" customFormat="false" ht="15" hidden="false" customHeight="false" outlineLevel="0" collapsed="false">
      <c r="A61" s="23" t="s">
        <v>44</v>
      </c>
      <c r="B61" s="19" t="n">
        <f aca="false">SUM(B53:B60)</f>
        <v>2542</v>
      </c>
      <c r="C61" s="19" t="n">
        <f aca="false">SUM(C53:C60)</f>
        <v>2478</v>
      </c>
      <c r="D61" s="19" t="n">
        <f aca="false">SUM(D53:D60)</f>
        <v>2444</v>
      </c>
      <c r="E61" s="19" t="n">
        <f aca="false">SUM(E53:E60)</f>
        <v>2447</v>
      </c>
      <c r="F61" s="19" t="n">
        <f aca="false">SUM(F53:F60)</f>
        <v>2453</v>
      </c>
      <c r="G61" s="19" t="n">
        <f aca="false">SUM(G53:G60)</f>
        <v>2545</v>
      </c>
      <c r="H61" s="19" t="n">
        <f aca="false">SUM(H53:H60)</f>
        <v>2592</v>
      </c>
      <c r="I61" s="19" t="n">
        <f aca="false">SUM(I53:I60)</f>
        <v>2649</v>
      </c>
      <c r="J61" s="19" t="n">
        <f aca="false">SUM(J53:J60)</f>
        <v>2672</v>
      </c>
      <c r="K61" s="19" t="n">
        <f aca="false">SUM(K53:K60)</f>
        <v>2669</v>
      </c>
      <c r="L61" s="19" t="n">
        <f aca="false">SUM(L53:L60)</f>
        <v>2666</v>
      </c>
      <c r="M61" s="19" t="n">
        <f aca="false">SUM(M53:M60)</f>
        <v>2633</v>
      </c>
      <c r="N61" s="19" t="n">
        <f aca="false">SUM(B61:M61)</f>
        <v>30790</v>
      </c>
    </row>
    <row r="62" customFormat="false" ht="15" hidden="false" customHeight="false" outlineLevel="0" collapsed="false">
      <c r="A62" s="23" t="s">
        <v>45</v>
      </c>
      <c r="B62" s="19" t="n">
        <f aca="false">B51-B61</f>
        <v>1282</v>
      </c>
      <c r="C62" s="19" t="n">
        <f aca="false">C51-C61</f>
        <v>1191</v>
      </c>
      <c r="D62" s="19" t="n">
        <f aca="false">D51-D61</f>
        <v>1137</v>
      </c>
      <c r="E62" s="19" t="n">
        <f aca="false">E51-E61</f>
        <v>1186</v>
      </c>
      <c r="F62" s="19" t="n">
        <f aca="false">F51-F61</f>
        <v>1203</v>
      </c>
      <c r="G62" s="19" t="n">
        <f aca="false">G51-G61</f>
        <v>1331</v>
      </c>
      <c r="H62" s="19" t="n">
        <f aca="false">H51-H61</f>
        <v>1421</v>
      </c>
      <c r="I62" s="19" t="n">
        <f aca="false">I51-I61</f>
        <v>1492</v>
      </c>
      <c r="J62" s="19" t="n">
        <f aca="false">J51-J61</f>
        <v>1515</v>
      </c>
      <c r="K62" s="19" t="n">
        <f aca="false">K51-K61</f>
        <v>1507</v>
      </c>
      <c r="L62" s="19" t="n">
        <f aca="false">L51-L61</f>
        <v>1500</v>
      </c>
      <c r="M62" s="19" t="n">
        <f aca="false">M51-M61</f>
        <v>1451</v>
      </c>
      <c r="N62" s="19" t="n">
        <f aca="false">SUM(B62:M62)</f>
        <v>16216</v>
      </c>
    </row>
    <row r="63" customFormat="false" ht="15" hidden="false" customHeight="false" outlineLevel="0" collapsed="false">
      <c r="A63" s="10" t="s">
        <v>46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customFormat="false" ht="15" hidden="false" customHeight="false" outlineLevel="0" collapsed="false">
      <c r="A64" s="12" t="s">
        <v>47</v>
      </c>
      <c r="B64" s="22" t="n">
        <v>89</v>
      </c>
      <c r="C64" s="22" t="n">
        <v>85</v>
      </c>
      <c r="D64" s="22" t="n">
        <v>83</v>
      </c>
      <c r="E64" s="22" t="n">
        <v>84</v>
      </c>
      <c r="F64" s="22" t="n">
        <v>85</v>
      </c>
      <c r="G64" s="22" t="n">
        <v>90</v>
      </c>
      <c r="H64" s="22" t="n">
        <v>94</v>
      </c>
      <c r="I64" s="22" t="n">
        <v>97</v>
      </c>
      <c r="J64" s="22" t="n">
        <v>98</v>
      </c>
      <c r="K64" s="22" t="n">
        <v>98</v>
      </c>
      <c r="L64" s="22" t="n">
        <v>98</v>
      </c>
      <c r="M64" s="22" t="n">
        <v>96</v>
      </c>
      <c r="N64" s="15" t="n">
        <f aca="false">SUM(B64:M64)</f>
        <v>1097</v>
      </c>
    </row>
    <row r="65" customFormat="false" ht="15" hidden="false" customHeight="false" outlineLevel="0" collapsed="false">
      <c r="A65" s="12" t="s">
        <v>48</v>
      </c>
      <c r="B65" s="22" t="n">
        <v>185</v>
      </c>
      <c r="C65" s="22" t="n">
        <v>185</v>
      </c>
      <c r="D65" s="22" t="n">
        <v>185</v>
      </c>
      <c r="E65" s="22" t="n">
        <v>185</v>
      </c>
      <c r="F65" s="22" t="n">
        <v>185</v>
      </c>
      <c r="G65" s="22" t="n">
        <v>185</v>
      </c>
      <c r="H65" s="22" t="n">
        <v>185</v>
      </c>
      <c r="I65" s="22" t="n">
        <v>185</v>
      </c>
      <c r="J65" s="22" t="n">
        <v>185</v>
      </c>
      <c r="K65" s="22" t="n">
        <v>185</v>
      </c>
      <c r="L65" s="22" t="n">
        <v>185</v>
      </c>
      <c r="M65" s="22" t="n">
        <v>185</v>
      </c>
      <c r="N65" s="15" t="n">
        <f aca="false">SUM(B65:M65)</f>
        <v>2220</v>
      </c>
    </row>
    <row r="66" customFormat="false" ht="15" hidden="false" customHeight="false" outlineLevel="0" collapsed="false">
      <c r="A66" s="12" t="s">
        <v>49</v>
      </c>
      <c r="B66" s="22" t="n">
        <v>34</v>
      </c>
      <c r="C66" s="22" t="n">
        <v>34</v>
      </c>
      <c r="D66" s="22" t="n">
        <v>34</v>
      </c>
      <c r="E66" s="22" t="n">
        <v>34</v>
      </c>
      <c r="F66" s="22" t="n">
        <v>34</v>
      </c>
      <c r="G66" s="22" t="n">
        <v>34</v>
      </c>
      <c r="H66" s="22" t="n">
        <v>34</v>
      </c>
      <c r="I66" s="22" t="n">
        <v>34</v>
      </c>
      <c r="J66" s="22" t="n">
        <v>34</v>
      </c>
      <c r="K66" s="22" t="n">
        <v>34</v>
      </c>
      <c r="L66" s="22" t="n">
        <v>34</v>
      </c>
      <c r="M66" s="22" t="n">
        <v>34</v>
      </c>
      <c r="N66" s="15" t="n">
        <f aca="false">SUM(B66:M66)</f>
        <v>408</v>
      </c>
    </row>
    <row r="67" customFormat="false" ht="15" hidden="false" customHeight="false" outlineLevel="0" collapsed="false">
      <c r="A67" s="12" t="s">
        <v>50</v>
      </c>
      <c r="B67" s="22" t="n">
        <v>27</v>
      </c>
      <c r="C67" s="22" t="n">
        <v>27</v>
      </c>
      <c r="D67" s="22" t="n">
        <v>27</v>
      </c>
      <c r="E67" s="22" t="n">
        <v>27</v>
      </c>
      <c r="F67" s="22" t="n">
        <v>27</v>
      </c>
      <c r="G67" s="22" t="n">
        <v>27</v>
      </c>
      <c r="H67" s="22" t="n">
        <v>27</v>
      </c>
      <c r="I67" s="22" t="n">
        <v>27</v>
      </c>
      <c r="J67" s="22" t="n">
        <v>27</v>
      </c>
      <c r="K67" s="22" t="n">
        <v>27</v>
      </c>
      <c r="L67" s="22" t="n">
        <v>27</v>
      </c>
      <c r="M67" s="22" t="n">
        <v>27</v>
      </c>
      <c r="N67" s="15" t="n">
        <f aca="false">SUM(B67:M67)</f>
        <v>324</v>
      </c>
    </row>
    <row r="68" customFormat="false" ht="15" hidden="false" customHeight="false" outlineLevel="0" collapsed="false">
      <c r="A68" s="12" t="s">
        <v>51</v>
      </c>
      <c r="B68" s="22" t="n">
        <v>31</v>
      </c>
      <c r="C68" s="22" t="n">
        <v>31</v>
      </c>
      <c r="D68" s="22" t="n">
        <v>31</v>
      </c>
      <c r="E68" s="22" t="n">
        <v>31</v>
      </c>
      <c r="F68" s="22" t="n">
        <v>31</v>
      </c>
      <c r="G68" s="22" t="n">
        <v>31</v>
      </c>
      <c r="H68" s="22" t="n">
        <v>31</v>
      </c>
      <c r="I68" s="22" t="n">
        <v>31</v>
      </c>
      <c r="J68" s="22" t="n">
        <v>31</v>
      </c>
      <c r="K68" s="22" t="n">
        <v>31</v>
      </c>
      <c r="L68" s="22" t="n">
        <v>31</v>
      </c>
      <c r="M68" s="22" t="n">
        <v>31</v>
      </c>
      <c r="N68" s="15" t="n">
        <f aca="false">SUM(B68:M68)</f>
        <v>372</v>
      </c>
    </row>
    <row r="69" customFormat="false" ht="15" hidden="false" customHeight="false" outlineLevel="0" collapsed="false">
      <c r="A69" s="12" t="s">
        <v>52</v>
      </c>
      <c r="B69" s="22" t="n">
        <v>50</v>
      </c>
      <c r="C69" s="22" t="n">
        <v>50</v>
      </c>
      <c r="D69" s="22" t="n">
        <v>50</v>
      </c>
      <c r="E69" s="22" t="n">
        <v>50</v>
      </c>
      <c r="F69" s="22" t="n">
        <v>50</v>
      </c>
      <c r="G69" s="22" t="n">
        <v>50</v>
      </c>
      <c r="H69" s="22" t="n">
        <v>50</v>
      </c>
      <c r="I69" s="22" t="n">
        <v>50</v>
      </c>
      <c r="J69" s="22" t="n">
        <v>50</v>
      </c>
      <c r="K69" s="22" t="n">
        <v>50</v>
      </c>
      <c r="L69" s="22" t="n">
        <v>50</v>
      </c>
      <c r="M69" s="22" t="n">
        <v>50</v>
      </c>
      <c r="N69" s="15" t="n">
        <f aca="false">SUM(B69:M69)</f>
        <v>600</v>
      </c>
    </row>
    <row r="70" customFormat="false" ht="15" hidden="false" customHeight="false" outlineLevel="0" collapsed="false">
      <c r="A70" s="12" t="s">
        <v>53</v>
      </c>
      <c r="B70" s="22" t="n">
        <v>25</v>
      </c>
      <c r="C70" s="22" t="n">
        <v>25</v>
      </c>
      <c r="D70" s="22" t="n">
        <v>25</v>
      </c>
      <c r="E70" s="22" t="n">
        <v>25</v>
      </c>
      <c r="F70" s="22" t="n">
        <v>25</v>
      </c>
      <c r="G70" s="22" t="n">
        <v>25</v>
      </c>
      <c r="H70" s="22" t="n">
        <v>25</v>
      </c>
      <c r="I70" s="22" t="n">
        <v>25</v>
      </c>
      <c r="J70" s="22" t="n">
        <v>25</v>
      </c>
      <c r="K70" s="22" t="n">
        <v>25</v>
      </c>
      <c r="L70" s="22" t="n">
        <v>25</v>
      </c>
      <c r="M70" s="22" t="n">
        <v>25</v>
      </c>
      <c r="N70" s="15" t="n">
        <f aca="false">SUM(B70:M70)</f>
        <v>300</v>
      </c>
    </row>
    <row r="71" customFormat="false" ht="15" hidden="false" customHeight="false" outlineLevel="0" collapsed="false">
      <c r="A71" s="23" t="s">
        <v>54</v>
      </c>
      <c r="B71" s="19" t="n">
        <f aca="false">SUM(B64:B70)</f>
        <v>441</v>
      </c>
      <c r="C71" s="19" t="n">
        <f aca="false">SUM(C64:C70)</f>
        <v>437</v>
      </c>
      <c r="D71" s="19" t="n">
        <f aca="false">SUM(D64:D70)</f>
        <v>435</v>
      </c>
      <c r="E71" s="19" t="n">
        <f aca="false">SUM(E64:E70)</f>
        <v>436</v>
      </c>
      <c r="F71" s="19" t="n">
        <f aca="false">SUM(F64:F70)</f>
        <v>437</v>
      </c>
      <c r="G71" s="19" t="n">
        <f aca="false">SUM(G64:G70)</f>
        <v>442</v>
      </c>
      <c r="H71" s="19" t="n">
        <f aca="false">SUM(H64:H70)</f>
        <v>446</v>
      </c>
      <c r="I71" s="19" t="n">
        <f aca="false">SUM(I64:I70)</f>
        <v>449</v>
      </c>
      <c r="J71" s="19" t="n">
        <f aca="false">SUM(J64:J70)</f>
        <v>450</v>
      </c>
      <c r="K71" s="19" t="n">
        <f aca="false">SUM(K64:K70)</f>
        <v>450</v>
      </c>
      <c r="L71" s="19" t="n">
        <f aca="false">SUM(L64:L70)</f>
        <v>450</v>
      </c>
      <c r="M71" s="19" t="n">
        <f aca="false">SUM(M64:M70)</f>
        <v>448</v>
      </c>
      <c r="N71" s="19" t="n">
        <f aca="false">SUM(B71:M71)</f>
        <v>5321</v>
      </c>
    </row>
    <row r="72" customFormat="false" ht="15" hidden="false" customHeight="false" outlineLevel="0" collapsed="false">
      <c r="A72" s="23" t="s">
        <v>55</v>
      </c>
      <c r="B72" s="19" t="n">
        <f aca="false">B62-B71</f>
        <v>841</v>
      </c>
      <c r="C72" s="19" t="n">
        <f aca="false">C62-C71</f>
        <v>754</v>
      </c>
      <c r="D72" s="19" t="n">
        <f aca="false">D62-D71</f>
        <v>702</v>
      </c>
      <c r="E72" s="19" t="n">
        <f aca="false">E62-E71</f>
        <v>750</v>
      </c>
      <c r="F72" s="19" t="n">
        <f aca="false">F62-F71</f>
        <v>766</v>
      </c>
      <c r="G72" s="19" t="n">
        <f aca="false">G62-G71</f>
        <v>889</v>
      </c>
      <c r="H72" s="19" t="n">
        <f aca="false">H62-H71</f>
        <v>975</v>
      </c>
      <c r="I72" s="19" t="n">
        <f aca="false">I62-I71</f>
        <v>1043</v>
      </c>
      <c r="J72" s="19" t="n">
        <f aca="false">J62-J71</f>
        <v>1065</v>
      </c>
      <c r="K72" s="19" t="n">
        <f aca="false">K62-K71</f>
        <v>1057</v>
      </c>
      <c r="L72" s="19" t="n">
        <f aca="false">L62-L71</f>
        <v>1050</v>
      </c>
      <c r="M72" s="19" t="n">
        <f aca="false">M62-M71</f>
        <v>1003</v>
      </c>
      <c r="N72" s="19" t="n">
        <f aca="false">SUM(B72:M72)</f>
        <v>10895</v>
      </c>
    </row>
    <row r="73" customFormat="false" ht="15" hidden="false" customHeight="false" outlineLevel="0" collapsed="false">
      <c r="A73" s="12" t="s">
        <v>56</v>
      </c>
      <c r="B73" s="24" t="n">
        <f aca="false">IF(B51=0,0,B72/B51)</f>
        <v>0.219926778242678</v>
      </c>
      <c r="C73" s="24" t="n">
        <f aca="false">IF(C51=0,0,C72/C51)</f>
        <v>0.205505587353502</v>
      </c>
      <c r="D73" s="24" t="n">
        <f aca="false">IF(D51=0,0,D72/D51)</f>
        <v>0.196034627199106</v>
      </c>
      <c r="E73" s="24" t="n">
        <f aca="false">IF(E51=0,0,E72/E51)</f>
        <v>0.206440957886045</v>
      </c>
      <c r="F73" s="24" t="n">
        <f aca="false">IF(F51=0,0,F72/F51)</f>
        <v>0.209518599562363</v>
      </c>
      <c r="G73" s="24" t="n">
        <f aca="false">IF(G51=0,0,G72/G51)</f>
        <v>0.229360165118679</v>
      </c>
      <c r="H73" s="24" t="n">
        <f aca="false">IF(H51=0,0,H72/H51)</f>
        <v>0.242960378769001</v>
      </c>
      <c r="I73" s="24" t="n">
        <f aca="false">IF(I51=0,0,I72/I51)</f>
        <v>0.251871528616276</v>
      </c>
      <c r="J73" s="24" t="n">
        <f aca="false">IF(J51=0,0,J72/J51)</f>
        <v>0.254358729400525</v>
      </c>
      <c r="K73" s="24" t="n">
        <f aca="false">IF(K51=0,0,K72/K51)</f>
        <v>0.253113026819923</v>
      </c>
      <c r="L73" s="24" t="n">
        <f aca="false">IF(L51=0,0,L72/L51)</f>
        <v>0.252040326452232</v>
      </c>
      <c r="M73" s="24" t="n">
        <f aca="false">IF(M51=0,0,M72/M51)</f>
        <v>0.245592556317336</v>
      </c>
      <c r="N73" s="24" t="n">
        <f aca="false">IF(N51=0,0,N72/N51)</f>
        <v>0.231778921839765</v>
      </c>
    </row>
    <row r="74" customFormat="false" ht="15" hidden="false" customHeight="false" outlineLevel="0" collapsed="false">
      <c r="A74" s="12" t="s">
        <v>58</v>
      </c>
      <c r="B74" s="22" t="n">
        <v>267</v>
      </c>
      <c r="C74" s="22" t="n">
        <v>267</v>
      </c>
      <c r="D74" s="22" t="n">
        <v>267</v>
      </c>
      <c r="E74" s="22" t="n">
        <v>267</v>
      </c>
      <c r="F74" s="22" t="n">
        <v>267</v>
      </c>
      <c r="G74" s="22" t="n">
        <v>267</v>
      </c>
      <c r="H74" s="22" t="n">
        <v>267</v>
      </c>
      <c r="I74" s="22" t="n">
        <v>267</v>
      </c>
      <c r="J74" s="22" t="n">
        <v>267</v>
      </c>
      <c r="K74" s="22" t="n">
        <v>267</v>
      </c>
      <c r="L74" s="22" t="n">
        <v>267</v>
      </c>
      <c r="M74" s="22" t="n">
        <v>267</v>
      </c>
      <c r="N74" s="15" t="n">
        <f aca="false">SUM(B74:M74)</f>
        <v>3204</v>
      </c>
    </row>
    <row r="75" customFormat="false" ht="15" hidden="false" customHeight="false" outlineLevel="0" collapsed="false">
      <c r="A75" s="12" t="s">
        <v>59</v>
      </c>
      <c r="B75" s="22" t="n">
        <v>192</v>
      </c>
      <c r="C75" s="22" t="n">
        <v>192</v>
      </c>
      <c r="D75" s="22" t="n">
        <v>192</v>
      </c>
      <c r="E75" s="22" t="n">
        <v>192</v>
      </c>
      <c r="F75" s="22" t="n">
        <v>192</v>
      </c>
      <c r="G75" s="22" t="n">
        <v>192</v>
      </c>
      <c r="H75" s="22" t="n">
        <v>192</v>
      </c>
      <c r="I75" s="22" t="n">
        <v>192</v>
      </c>
      <c r="J75" s="22" t="n">
        <v>192</v>
      </c>
      <c r="K75" s="22" t="n">
        <v>192</v>
      </c>
      <c r="L75" s="22" t="n">
        <v>192</v>
      </c>
      <c r="M75" s="22" t="n">
        <v>192</v>
      </c>
      <c r="N75" s="15" t="n">
        <f aca="false">SUM(B75:M75)</f>
        <v>2304</v>
      </c>
    </row>
    <row r="76" customFormat="false" ht="15" hidden="false" customHeight="false" outlineLevel="0" collapsed="false">
      <c r="A76" s="12" t="s">
        <v>60</v>
      </c>
      <c r="B76" s="22" t="n">
        <v>133</v>
      </c>
      <c r="C76" s="22" t="n">
        <v>133</v>
      </c>
      <c r="D76" s="22" t="n">
        <v>133</v>
      </c>
      <c r="E76" s="22" t="n">
        <v>133</v>
      </c>
      <c r="F76" s="22" t="n">
        <v>133</v>
      </c>
      <c r="G76" s="22" t="n">
        <v>133</v>
      </c>
      <c r="H76" s="22" t="n">
        <v>133</v>
      </c>
      <c r="I76" s="22" t="n">
        <v>133</v>
      </c>
      <c r="J76" s="22" t="n">
        <v>133</v>
      </c>
      <c r="K76" s="22" t="n">
        <v>133</v>
      </c>
      <c r="L76" s="22" t="n">
        <v>133</v>
      </c>
      <c r="M76" s="22" t="n">
        <v>133</v>
      </c>
      <c r="N76" s="15" t="n">
        <f aca="false">SUM(B76:M76)</f>
        <v>1596</v>
      </c>
    </row>
    <row r="77" customFormat="false" ht="15" hidden="false" customHeight="false" outlineLevel="0" collapsed="false">
      <c r="A77" s="12" t="s">
        <v>61</v>
      </c>
      <c r="B77" s="22" t="n">
        <v>333</v>
      </c>
      <c r="C77" s="22" t="n">
        <v>333</v>
      </c>
      <c r="D77" s="22" t="n">
        <v>333</v>
      </c>
      <c r="E77" s="22" t="n">
        <v>333</v>
      </c>
      <c r="F77" s="22" t="n">
        <v>333</v>
      </c>
      <c r="G77" s="22" t="n">
        <v>333</v>
      </c>
      <c r="H77" s="22" t="n">
        <v>333</v>
      </c>
      <c r="I77" s="22" t="n">
        <v>333</v>
      </c>
      <c r="J77" s="22" t="n">
        <v>333</v>
      </c>
      <c r="K77" s="22" t="n">
        <v>333</v>
      </c>
      <c r="L77" s="22" t="n">
        <v>333</v>
      </c>
      <c r="M77" s="22" t="n">
        <v>333</v>
      </c>
      <c r="N77" s="15" t="n">
        <f aca="false">SUM(B77:M77)</f>
        <v>3996</v>
      </c>
    </row>
    <row r="78" customFormat="false" ht="15" hidden="false" customHeight="false" outlineLevel="0" collapsed="false">
      <c r="A78" s="12" t="s">
        <v>62</v>
      </c>
      <c r="B78" s="22" t="n">
        <v>8</v>
      </c>
      <c r="C78" s="22" t="n">
        <v>8</v>
      </c>
      <c r="D78" s="22" t="n">
        <v>8</v>
      </c>
      <c r="E78" s="22" t="n">
        <v>8</v>
      </c>
      <c r="F78" s="22" t="n">
        <v>8</v>
      </c>
      <c r="G78" s="22" t="n">
        <v>8</v>
      </c>
      <c r="H78" s="22" t="n">
        <v>8</v>
      </c>
      <c r="I78" s="22" t="n">
        <v>8</v>
      </c>
      <c r="J78" s="22" t="n">
        <v>8</v>
      </c>
      <c r="K78" s="22" t="n">
        <v>8</v>
      </c>
      <c r="L78" s="22" t="n">
        <v>8</v>
      </c>
      <c r="M78" s="22" t="n">
        <v>8</v>
      </c>
      <c r="N78" s="15" t="n">
        <f aca="false">SUM(B78:M78)</f>
        <v>96</v>
      </c>
    </row>
    <row r="79" customFormat="false" ht="15" hidden="false" customHeight="false" outlineLevel="0" collapsed="false">
      <c r="A79" s="23" t="s">
        <v>63</v>
      </c>
      <c r="B79" s="19" t="n">
        <f aca="false">B72-SUM(B74:B78)</f>
        <v>-92</v>
      </c>
      <c r="C79" s="19" t="n">
        <f aca="false">C72-SUM(C74:C78)</f>
        <v>-179</v>
      </c>
      <c r="D79" s="19" t="n">
        <f aca="false">D72-SUM(D74:D78)</f>
        <v>-231</v>
      </c>
      <c r="E79" s="19" t="n">
        <f aca="false">E72-SUM(E74:E78)</f>
        <v>-183</v>
      </c>
      <c r="F79" s="19" t="n">
        <f aca="false">F72-SUM(F74:F78)</f>
        <v>-167</v>
      </c>
      <c r="G79" s="19" t="n">
        <f aca="false">G72-SUM(G74:G78)</f>
        <v>-44</v>
      </c>
      <c r="H79" s="19" t="n">
        <f aca="false">H72-SUM(H74:H78)</f>
        <v>42</v>
      </c>
      <c r="I79" s="19" t="n">
        <f aca="false">I72-SUM(I74:I78)</f>
        <v>110</v>
      </c>
      <c r="J79" s="19" t="n">
        <f aca="false">J72-SUM(J74:J78)</f>
        <v>132</v>
      </c>
      <c r="K79" s="19" t="n">
        <f aca="false">K72-SUM(K74:K78)</f>
        <v>124</v>
      </c>
      <c r="L79" s="19" t="n">
        <f aca="false">L72-SUM(L74:L78)</f>
        <v>117</v>
      </c>
      <c r="M79" s="19" t="n">
        <f aca="false">M72-SUM(M74:M78)</f>
        <v>70</v>
      </c>
      <c r="N79" s="19" t="n">
        <f aca="false">SUM(B79:M79)</f>
        <v>-301</v>
      </c>
    </row>
    <row r="82" customFormat="false" ht="15" hidden="false" customHeight="false" outlineLevel="0" collapsed="false">
      <c r="A82" s="9" t="s">
        <v>81</v>
      </c>
      <c r="B82" s="9" t="s">
        <v>82</v>
      </c>
      <c r="C82" s="9" t="s">
        <v>83</v>
      </c>
      <c r="D82" s="9" t="s">
        <v>84</v>
      </c>
      <c r="E82" s="9" t="s">
        <v>85</v>
      </c>
      <c r="F82" s="9" t="s">
        <v>86</v>
      </c>
      <c r="G82" s="9" t="s">
        <v>87</v>
      </c>
      <c r="H82" s="9" t="s">
        <v>88</v>
      </c>
      <c r="I82" s="9" t="s">
        <v>89</v>
      </c>
      <c r="J82" s="9" t="s">
        <v>90</v>
      </c>
      <c r="K82" s="9" t="s">
        <v>91</v>
      </c>
      <c r="L82" s="9" t="s">
        <v>92</v>
      </c>
      <c r="M82" s="9" t="s">
        <v>93</v>
      </c>
      <c r="N82" s="9" t="s">
        <v>79</v>
      </c>
    </row>
    <row r="83" customFormat="false" ht="15" hidden="false" customHeight="false" outlineLevel="0" collapsed="false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 customFormat="false" ht="15" hidden="false" customHeight="false" outlineLevel="0" collapsed="false">
      <c r="A84" s="12" t="s">
        <v>29</v>
      </c>
      <c r="B84" s="22" t="n">
        <v>2069</v>
      </c>
      <c r="C84" s="22" t="n">
        <v>2028</v>
      </c>
      <c r="D84" s="22" t="n">
        <v>2007</v>
      </c>
      <c r="E84" s="22" t="n">
        <v>1987</v>
      </c>
      <c r="F84" s="22" t="n">
        <v>1987</v>
      </c>
      <c r="G84" s="22" t="n">
        <v>2049</v>
      </c>
      <c r="H84" s="22" t="n">
        <v>2069</v>
      </c>
      <c r="I84" s="22" t="n">
        <v>2111</v>
      </c>
      <c r="J84" s="22" t="n">
        <v>2131</v>
      </c>
      <c r="K84" s="22" t="n">
        <v>2131</v>
      </c>
      <c r="L84" s="22" t="n">
        <v>2131</v>
      </c>
      <c r="M84" s="22" t="n">
        <v>2111</v>
      </c>
      <c r="N84" s="15" t="n">
        <f aca="false">SUM(B84:M84)</f>
        <v>24811</v>
      </c>
    </row>
    <row r="85" customFormat="false" ht="15" hidden="false" customHeight="false" outlineLevel="0" collapsed="false">
      <c r="A85" s="12" t="s">
        <v>30</v>
      </c>
      <c r="B85" s="22" t="n">
        <v>973</v>
      </c>
      <c r="C85" s="22" t="n">
        <v>877</v>
      </c>
      <c r="D85" s="22" t="n">
        <v>820</v>
      </c>
      <c r="E85" s="22" t="n">
        <v>763</v>
      </c>
      <c r="F85" s="22" t="n">
        <v>782</v>
      </c>
      <c r="G85" s="22" t="n">
        <v>906</v>
      </c>
      <c r="H85" s="22" t="n">
        <v>1001</v>
      </c>
      <c r="I85" s="22" t="n">
        <v>1068</v>
      </c>
      <c r="J85" s="22" t="n">
        <v>1087</v>
      </c>
      <c r="K85" s="22" t="n">
        <v>1077</v>
      </c>
      <c r="L85" s="22" t="n">
        <v>1068</v>
      </c>
      <c r="M85" s="22" t="n">
        <v>1020</v>
      </c>
      <c r="N85" s="15" t="n">
        <f aca="false">SUM(B85:M85)</f>
        <v>11442</v>
      </c>
    </row>
    <row r="86" customFormat="false" ht="15" hidden="false" customHeight="false" outlineLevel="0" collapsed="false">
      <c r="A86" s="12" t="s">
        <v>31</v>
      </c>
      <c r="B86" s="22" t="n">
        <v>259</v>
      </c>
      <c r="C86" s="22" t="n">
        <v>247</v>
      </c>
      <c r="D86" s="22" t="n">
        <v>240</v>
      </c>
      <c r="E86" s="22" t="n">
        <v>234</v>
      </c>
      <c r="F86" s="22" t="n">
        <v>235</v>
      </c>
      <c r="G86" s="22" t="n">
        <v>251</v>
      </c>
      <c r="H86" s="22" t="n">
        <v>261</v>
      </c>
      <c r="I86" s="22" t="n">
        <v>270</v>
      </c>
      <c r="J86" s="22" t="n">
        <v>274</v>
      </c>
      <c r="K86" s="22" t="n">
        <v>273</v>
      </c>
      <c r="L86" s="22" t="n">
        <v>272</v>
      </c>
      <c r="M86" s="22" t="n">
        <v>266</v>
      </c>
      <c r="N86" s="15" t="n">
        <f aca="false">SUM(B86:M86)</f>
        <v>3082</v>
      </c>
    </row>
    <row r="87" customFormat="false" ht="15" hidden="false" customHeight="false" outlineLevel="0" collapsed="false">
      <c r="A87" s="12" t="s">
        <v>32</v>
      </c>
      <c r="B87" s="22" t="n">
        <v>310</v>
      </c>
      <c r="C87" s="22" t="n">
        <v>310</v>
      </c>
      <c r="D87" s="22" t="n">
        <v>310</v>
      </c>
      <c r="E87" s="22" t="n">
        <v>310</v>
      </c>
      <c r="F87" s="22" t="n">
        <v>310</v>
      </c>
      <c r="G87" s="22" t="n">
        <v>310</v>
      </c>
      <c r="H87" s="22" t="n">
        <v>310</v>
      </c>
      <c r="I87" s="22" t="n">
        <v>310</v>
      </c>
      <c r="J87" s="22" t="n">
        <v>310</v>
      </c>
      <c r="K87" s="22" t="n">
        <v>310</v>
      </c>
      <c r="L87" s="22" t="n">
        <v>310</v>
      </c>
      <c r="M87" s="22" t="n">
        <v>310</v>
      </c>
      <c r="N87" s="15" t="n">
        <f aca="false">SUM(B87:M87)</f>
        <v>3720</v>
      </c>
    </row>
    <row r="88" customFormat="false" ht="15" hidden="false" customHeight="false" outlineLevel="0" collapsed="false">
      <c r="A88" s="12" t="s">
        <v>33</v>
      </c>
      <c r="B88" s="22" t="n">
        <v>115</v>
      </c>
      <c r="C88" s="22" t="n">
        <v>115</v>
      </c>
      <c r="D88" s="22" t="n">
        <v>115</v>
      </c>
      <c r="E88" s="22" t="n">
        <v>115</v>
      </c>
      <c r="F88" s="22" t="n">
        <v>115</v>
      </c>
      <c r="G88" s="22" t="n">
        <v>115</v>
      </c>
      <c r="H88" s="22" t="n">
        <v>115</v>
      </c>
      <c r="I88" s="22" t="n">
        <v>115</v>
      </c>
      <c r="J88" s="22" t="n">
        <v>115</v>
      </c>
      <c r="K88" s="22" t="n">
        <v>115</v>
      </c>
      <c r="L88" s="22" t="n">
        <v>115</v>
      </c>
      <c r="M88" s="22" t="n">
        <v>115</v>
      </c>
      <c r="N88" s="15" t="n">
        <f aca="false">SUM(B88:M88)</f>
        <v>1380</v>
      </c>
    </row>
    <row r="89" customFormat="false" ht="15" hidden="false" customHeight="false" outlineLevel="0" collapsed="false">
      <c r="A89" s="23" t="s">
        <v>34</v>
      </c>
      <c r="B89" s="19" t="n">
        <f aca="false">SUM(B84:B88)</f>
        <v>3726</v>
      </c>
      <c r="C89" s="19" t="n">
        <f aca="false">SUM(C84:C88)</f>
        <v>3577</v>
      </c>
      <c r="D89" s="19" t="n">
        <f aca="false">SUM(D84:D88)</f>
        <v>3492</v>
      </c>
      <c r="E89" s="19" t="n">
        <f aca="false">SUM(E84:E88)</f>
        <v>3409</v>
      </c>
      <c r="F89" s="19" t="n">
        <f aca="false">SUM(F84:F88)</f>
        <v>3429</v>
      </c>
      <c r="G89" s="19" t="n">
        <f aca="false">SUM(G84:G88)</f>
        <v>3631</v>
      </c>
      <c r="H89" s="19" t="n">
        <f aca="false">SUM(H84:H88)</f>
        <v>3756</v>
      </c>
      <c r="I89" s="19" t="n">
        <f aca="false">SUM(I84:I88)</f>
        <v>3874</v>
      </c>
      <c r="J89" s="19" t="n">
        <f aca="false">SUM(J84:J88)</f>
        <v>3917</v>
      </c>
      <c r="K89" s="19" t="n">
        <f aca="false">SUM(K84:K88)</f>
        <v>3906</v>
      </c>
      <c r="L89" s="19" t="n">
        <f aca="false">SUM(L84:L88)</f>
        <v>3896</v>
      </c>
      <c r="M89" s="19" t="n">
        <f aca="false">SUM(M84:M88)</f>
        <v>3822</v>
      </c>
      <c r="N89" s="19" t="n">
        <f aca="false">SUM(B89:M89)</f>
        <v>44435</v>
      </c>
    </row>
    <row r="90" customFormat="false" ht="15" hidden="false" customHeight="false" outlineLevel="0" collapsed="false">
      <c r="A90" s="10" t="s">
        <v>35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 customFormat="false" ht="15" hidden="false" customHeight="false" outlineLevel="0" collapsed="false">
      <c r="A91" s="12" t="s">
        <v>36</v>
      </c>
      <c r="B91" s="22" t="n">
        <v>753</v>
      </c>
      <c r="C91" s="22" t="n">
        <v>720</v>
      </c>
      <c r="D91" s="22" t="n">
        <v>700</v>
      </c>
      <c r="E91" s="22" t="n">
        <v>681</v>
      </c>
      <c r="F91" s="22" t="n">
        <v>686</v>
      </c>
      <c r="G91" s="22" t="n">
        <v>732</v>
      </c>
      <c r="H91" s="22" t="n">
        <v>761</v>
      </c>
      <c r="I91" s="22" t="n">
        <v>787</v>
      </c>
      <c r="J91" s="22" t="n">
        <v>797</v>
      </c>
      <c r="K91" s="22" t="n">
        <v>795</v>
      </c>
      <c r="L91" s="22" t="n">
        <v>792</v>
      </c>
      <c r="M91" s="22" t="n">
        <v>776</v>
      </c>
      <c r="N91" s="15" t="n">
        <f aca="false">SUM(B91:M91)</f>
        <v>8980</v>
      </c>
    </row>
    <row r="92" customFormat="false" ht="15" hidden="false" customHeight="false" outlineLevel="0" collapsed="false">
      <c r="A92" s="12" t="s">
        <v>37</v>
      </c>
      <c r="B92" s="22" t="n">
        <v>706</v>
      </c>
      <c r="C92" s="22" t="n">
        <v>692</v>
      </c>
      <c r="D92" s="22" t="n">
        <v>685</v>
      </c>
      <c r="E92" s="22" t="n">
        <v>678</v>
      </c>
      <c r="F92" s="22" t="n">
        <v>678</v>
      </c>
      <c r="G92" s="22" t="n">
        <v>699</v>
      </c>
      <c r="H92" s="22" t="n">
        <v>706</v>
      </c>
      <c r="I92" s="22" t="n">
        <v>720</v>
      </c>
      <c r="J92" s="22" t="n">
        <v>727</v>
      </c>
      <c r="K92" s="22" t="n">
        <v>727</v>
      </c>
      <c r="L92" s="22" t="n">
        <v>727</v>
      </c>
      <c r="M92" s="22" t="n">
        <v>720</v>
      </c>
      <c r="N92" s="15" t="n">
        <f aca="false">SUM(B92:M92)</f>
        <v>8465</v>
      </c>
    </row>
    <row r="93" customFormat="false" ht="15" hidden="false" customHeight="false" outlineLevel="0" collapsed="false">
      <c r="A93" s="12" t="s">
        <v>38</v>
      </c>
      <c r="B93" s="22" t="n">
        <v>304</v>
      </c>
      <c r="C93" s="22" t="n">
        <v>298</v>
      </c>
      <c r="D93" s="22" t="n">
        <v>295</v>
      </c>
      <c r="E93" s="22" t="n">
        <v>292</v>
      </c>
      <c r="F93" s="22" t="n">
        <v>292</v>
      </c>
      <c r="G93" s="22" t="n">
        <v>301</v>
      </c>
      <c r="H93" s="22" t="n">
        <v>304</v>
      </c>
      <c r="I93" s="22" t="n">
        <v>310</v>
      </c>
      <c r="J93" s="22" t="n">
        <v>313</v>
      </c>
      <c r="K93" s="22" t="n">
        <v>313</v>
      </c>
      <c r="L93" s="22" t="n">
        <v>313</v>
      </c>
      <c r="M93" s="22" t="n">
        <v>310</v>
      </c>
      <c r="N93" s="15" t="n">
        <f aca="false">SUM(B93:M93)</f>
        <v>3645</v>
      </c>
    </row>
    <row r="94" customFormat="false" ht="15" hidden="false" customHeight="false" outlineLevel="0" collapsed="false">
      <c r="A94" s="12" t="s">
        <v>39</v>
      </c>
      <c r="B94" s="22" t="n">
        <v>336</v>
      </c>
      <c r="C94" s="22" t="n">
        <v>336</v>
      </c>
      <c r="D94" s="22" t="n">
        <v>336</v>
      </c>
      <c r="E94" s="22" t="n">
        <v>336</v>
      </c>
      <c r="F94" s="22" t="n">
        <v>336</v>
      </c>
      <c r="G94" s="22" t="n">
        <v>336</v>
      </c>
      <c r="H94" s="22" t="n">
        <v>336</v>
      </c>
      <c r="I94" s="22" t="n">
        <v>336</v>
      </c>
      <c r="J94" s="22" t="n">
        <v>336</v>
      </c>
      <c r="K94" s="22" t="n">
        <v>336</v>
      </c>
      <c r="L94" s="22" t="n">
        <v>336</v>
      </c>
      <c r="M94" s="22" t="n">
        <v>336</v>
      </c>
      <c r="N94" s="15" t="n">
        <f aca="false">SUM(B94:M94)</f>
        <v>4032</v>
      </c>
    </row>
    <row r="95" customFormat="false" ht="15" hidden="false" customHeight="false" outlineLevel="0" collapsed="false">
      <c r="A95" s="12" t="s">
        <v>40</v>
      </c>
      <c r="B95" s="22" t="n">
        <v>0</v>
      </c>
      <c r="C95" s="22" t="n">
        <v>0</v>
      </c>
      <c r="D95" s="22" t="n">
        <v>0</v>
      </c>
      <c r="E95" s="22" t="n">
        <v>0</v>
      </c>
      <c r="F95" s="22" t="n">
        <v>0</v>
      </c>
      <c r="G95" s="22" t="n">
        <v>0</v>
      </c>
      <c r="H95" s="22" t="n">
        <v>0</v>
      </c>
      <c r="I95" s="22" t="n">
        <v>0</v>
      </c>
      <c r="J95" s="22" t="n">
        <v>0</v>
      </c>
      <c r="K95" s="22" t="n">
        <v>0</v>
      </c>
      <c r="L95" s="22" t="n">
        <v>0</v>
      </c>
      <c r="M95" s="22" t="n">
        <v>0</v>
      </c>
      <c r="N95" s="15" t="n">
        <f aca="false">SUM(B95:M95)</f>
        <v>0</v>
      </c>
    </row>
    <row r="96" customFormat="false" ht="15" hidden="false" customHeight="false" outlineLevel="0" collapsed="false">
      <c r="A96" s="12" t="s">
        <v>41</v>
      </c>
      <c r="B96" s="22" t="n">
        <v>46</v>
      </c>
      <c r="C96" s="22" t="n">
        <v>44</v>
      </c>
      <c r="D96" s="22" t="n">
        <v>42</v>
      </c>
      <c r="E96" s="22" t="n">
        <v>41</v>
      </c>
      <c r="F96" s="22" t="n">
        <v>42</v>
      </c>
      <c r="G96" s="22" t="n">
        <v>44</v>
      </c>
      <c r="H96" s="22" t="n">
        <v>46</v>
      </c>
      <c r="I96" s="22" t="n">
        <v>48</v>
      </c>
      <c r="J96" s="22" t="n">
        <v>48</v>
      </c>
      <c r="K96" s="22" t="n">
        <v>48</v>
      </c>
      <c r="L96" s="22" t="n">
        <v>48</v>
      </c>
      <c r="M96" s="22" t="n">
        <v>47</v>
      </c>
      <c r="N96" s="15" t="n">
        <f aca="false">SUM(B96:M96)</f>
        <v>544</v>
      </c>
    </row>
    <row r="97" customFormat="false" ht="15" hidden="false" customHeight="false" outlineLevel="0" collapsed="false">
      <c r="A97" s="12" t="s">
        <v>42</v>
      </c>
      <c r="B97" s="22" t="n">
        <v>195</v>
      </c>
      <c r="C97" s="22" t="n">
        <v>195</v>
      </c>
      <c r="D97" s="22" t="n">
        <v>195</v>
      </c>
      <c r="E97" s="22" t="n">
        <v>195</v>
      </c>
      <c r="F97" s="22" t="n">
        <v>195</v>
      </c>
      <c r="G97" s="22" t="n">
        <v>195</v>
      </c>
      <c r="H97" s="22" t="n">
        <v>195</v>
      </c>
      <c r="I97" s="22" t="n">
        <v>195</v>
      </c>
      <c r="J97" s="22" t="n">
        <v>195</v>
      </c>
      <c r="K97" s="22" t="n">
        <v>195</v>
      </c>
      <c r="L97" s="22" t="n">
        <v>195</v>
      </c>
      <c r="M97" s="22" t="n">
        <v>195</v>
      </c>
      <c r="N97" s="15" t="n">
        <f aca="false">SUM(B97:M97)</f>
        <v>2340</v>
      </c>
    </row>
    <row r="98" customFormat="false" ht="15" hidden="false" customHeight="false" outlineLevel="0" collapsed="false">
      <c r="A98" s="12" t="s">
        <v>43</v>
      </c>
      <c r="B98" s="22" t="n">
        <v>106</v>
      </c>
      <c r="C98" s="22" t="n">
        <v>102</v>
      </c>
      <c r="D98" s="22" t="n">
        <v>99</v>
      </c>
      <c r="E98" s="22" t="n">
        <v>97</v>
      </c>
      <c r="F98" s="22" t="n">
        <v>98</v>
      </c>
      <c r="G98" s="22" t="n">
        <v>104</v>
      </c>
      <c r="H98" s="22" t="n">
        <v>107</v>
      </c>
      <c r="I98" s="22" t="n">
        <v>111</v>
      </c>
      <c r="J98" s="22" t="n">
        <v>112</v>
      </c>
      <c r="K98" s="22" t="n">
        <v>112</v>
      </c>
      <c r="L98" s="22" t="n">
        <v>111</v>
      </c>
      <c r="M98" s="22" t="n">
        <v>109</v>
      </c>
      <c r="N98" s="15" t="n">
        <f aca="false">SUM(B98:M98)</f>
        <v>1268</v>
      </c>
    </row>
    <row r="99" customFormat="false" ht="15" hidden="false" customHeight="false" outlineLevel="0" collapsed="false">
      <c r="A99" s="23" t="s">
        <v>44</v>
      </c>
      <c r="B99" s="19" t="n">
        <f aca="false">SUM(B91:B98)</f>
        <v>2446</v>
      </c>
      <c r="C99" s="19" t="n">
        <f aca="false">SUM(C91:C98)</f>
        <v>2387</v>
      </c>
      <c r="D99" s="19" t="n">
        <f aca="false">SUM(D91:D98)</f>
        <v>2352</v>
      </c>
      <c r="E99" s="19" t="n">
        <f aca="false">SUM(E91:E98)</f>
        <v>2320</v>
      </c>
      <c r="F99" s="19" t="n">
        <f aca="false">SUM(F91:F98)</f>
        <v>2327</v>
      </c>
      <c r="G99" s="19" t="n">
        <f aca="false">SUM(G91:G98)</f>
        <v>2411</v>
      </c>
      <c r="H99" s="19" t="n">
        <f aca="false">SUM(H91:H98)</f>
        <v>2455</v>
      </c>
      <c r="I99" s="19" t="n">
        <f aca="false">SUM(I91:I98)</f>
        <v>2507</v>
      </c>
      <c r="J99" s="19" t="n">
        <f aca="false">SUM(J91:J98)</f>
        <v>2528</v>
      </c>
      <c r="K99" s="19" t="n">
        <f aca="false">SUM(K91:K98)</f>
        <v>2526</v>
      </c>
      <c r="L99" s="19" t="n">
        <f aca="false">SUM(L91:L98)</f>
        <v>2522</v>
      </c>
      <c r="M99" s="19" t="n">
        <f aca="false">SUM(M91:M98)</f>
        <v>2493</v>
      </c>
      <c r="N99" s="19" t="n">
        <f aca="false">SUM(B99:M99)</f>
        <v>29274</v>
      </c>
    </row>
    <row r="100" customFormat="false" ht="15" hidden="false" customHeight="false" outlineLevel="0" collapsed="false">
      <c r="A100" s="23" t="s">
        <v>45</v>
      </c>
      <c r="B100" s="19" t="n">
        <f aca="false">B89-B99</f>
        <v>1280</v>
      </c>
      <c r="C100" s="19" t="n">
        <f aca="false">C89-C99</f>
        <v>1190</v>
      </c>
      <c r="D100" s="19" t="n">
        <f aca="false">D89-D99</f>
        <v>1140</v>
      </c>
      <c r="E100" s="19" t="n">
        <f aca="false">E89-E99</f>
        <v>1089</v>
      </c>
      <c r="F100" s="19" t="n">
        <f aca="false">F89-F99</f>
        <v>1102</v>
      </c>
      <c r="G100" s="19" t="n">
        <f aca="false">G89-G99</f>
        <v>1220</v>
      </c>
      <c r="H100" s="19" t="n">
        <f aca="false">H89-H99</f>
        <v>1301</v>
      </c>
      <c r="I100" s="19" t="n">
        <f aca="false">I89-I99</f>
        <v>1367</v>
      </c>
      <c r="J100" s="19" t="n">
        <f aca="false">J89-J99</f>
        <v>1389</v>
      </c>
      <c r="K100" s="19" t="n">
        <f aca="false">K89-K99</f>
        <v>1380</v>
      </c>
      <c r="L100" s="19" t="n">
        <f aca="false">L89-L99</f>
        <v>1374</v>
      </c>
      <c r="M100" s="19" t="n">
        <f aca="false">M89-M99</f>
        <v>1329</v>
      </c>
      <c r="N100" s="19" t="n">
        <f aca="false">SUM(B100:M100)</f>
        <v>15161</v>
      </c>
    </row>
    <row r="101" customFormat="false" ht="15" hidden="false" customHeight="false" outlineLevel="0" collapsed="false">
      <c r="A101" s="10" t="s">
        <v>46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customFormat="false" ht="15" hidden="false" customHeight="false" outlineLevel="0" collapsed="false">
      <c r="A102" s="12" t="s">
        <v>47</v>
      </c>
      <c r="B102" s="22" t="n">
        <v>85</v>
      </c>
      <c r="C102" s="22" t="n">
        <v>81</v>
      </c>
      <c r="D102" s="22" t="n">
        <v>79</v>
      </c>
      <c r="E102" s="22" t="n">
        <v>77</v>
      </c>
      <c r="F102" s="22" t="n">
        <v>78</v>
      </c>
      <c r="G102" s="22" t="n">
        <v>83</v>
      </c>
      <c r="H102" s="22" t="n">
        <v>86</v>
      </c>
      <c r="I102" s="22" t="n">
        <v>89</v>
      </c>
      <c r="J102" s="22" t="n">
        <v>90</v>
      </c>
      <c r="K102" s="22" t="n">
        <v>90</v>
      </c>
      <c r="L102" s="22" t="n">
        <v>90</v>
      </c>
      <c r="M102" s="22" t="n">
        <v>88</v>
      </c>
      <c r="N102" s="15" t="n">
        <f aca="false">SUM(B102:M102)</f>
        <v>1016</v>
      </c>
    </row>
    <row r="103" customFormat="false" ht="15" hidden="false" customHeight="false" outlineLevel="0" collapsed="false">
      <c r="A103" s="12" t="s">
        <v>48</v>
      </c>
      <c r="B103" s="22" t="n">
        <v>178</v>
      </c>
      <c r="C103" s="22" t="n">
        <v>178</v>
      </c>
      <c r="D103" s="22" t="n">
        <v>178</v>
      </c>
      <c r="E103" s="22" t="n">
        <v>178</v>
      </c>
      <c r="F103" s="22" t="n">
        <v>178</v>
      </c>
      <c r="G103" s="22" t="n">
        <v>178</v>
      </c>
      <c r="H103" s="22" t="n">
        <v>178</v>
      </c>
      <c r="I103" s="22" t="n">
        <v>178</v>
      </c>
      <c r="J103" s="22" t="n">
        <v>178</v>
      </c>
      <c r="K103" s="22" t="n">
        <v>178</v>
      </c>
      <c r="L103" s="22" t="n">
        <v>178</v>
      </c>
      <c r="M103" s="22" t="n">
        <v>178</v>
      </c>
      <c r="N103" s="15" t="n">
        <f aca="false">SUM(B103:M103)</f>
        <v>2136</v>
      </c>
    </row>
    <row r="104" customFormat="false" ht="15" hidden="false" customHeight="false" outlineLevel="0" collapsed="false">
      <c r="A104" s="12" t="s">
        <v>49</v>
      </c>
      <c r="B104" s="22" t="n">
        <v>33</v>
      </c>
      <c r="C104" s="22" t="n">
        <v>33</v>
      </c>
      <c r="D104" s="22" t="n">
        <v>33</v>
      </c>
      <c r="E104" s="22" t="n">
        <v>33</v>
      </c>
      <c r="F104" s="22" t="n">
        <v>33</v>
      </c>
      <c r="G104" s="22" t="n">
        <v>33</v>
      </c>
      <c r="H104" s="22" t="n">
        <v>33</v>
      </c>
      <c r="I104" s="22" t="n">
        <v>33</v>
      </c>
      <c r="J104" s="22" t="n">
        <v>33</v>
      </c>
      <c r="K104" s="22" t="n">
        <v>33</v>
      </c>
      <c r="L104" s="22" t="n">
        <v>33</v>
      </c>
      <c r="M104" s="22" t="n">
        <v>33</v>
      </c>
      <c r="N104" s="15" t="n">
        <f aca="false">SUM(B104:M104)</f>
        <v>396</v>
      </c>
    </row>
    <row r="105" customFormat="false" ht="15" hidden="false" customHeight="false" outlineLevel="0" collapsed="false">
      <c r="A105" s="12" t="s">
        <v>50</v>
      </c>
      <c r="B105" s="22" t="n">
        <v>26</v>
      </c>
      <c r="C105" s="22" t="n">
        <v>26</v>
      </c>
      <c r="D105" s="22" t="n">
        <v>26</v>
      </c>
      <c r="E105" s="22" t="n">
        <v>26</v>
      </c>
      <c r="F105" s="22" t="n">
        <v>26</v>
      </c>
      <c r="G105" s="22" t="n">
        <v>26</v>
      </c>
      <c r="H105" s="22" t="n">
        <v>26</v>
      </c>
      <c r="I105" s="22" t="n">
        <v>26</v>
      </c>
      <c r="J105" s="22" t="n">
        <v>26</v>
      </c>
      <c r="K105" s="22" t="n">
        <v>26</v>
      </c>
      <c r="L105" s="22" t="n">
        <v>26</v>
      </c>
      <c r="M105" s="22" t="n">
        <v>26</v>
      </c>
      <c r="N105" s="15" t="n">
        <f aca="false">SUM(B105:M105)</f>
        <v>312</v>
      </c>
    </row>
    <row r="106" customFormat="false" ht="15" hidden="false" customHeight="false" outlineLevel="0" collapsed="false">
      <c r="A106" s="12" t="s">
        <v>51</v>
      </c>
      <c r="B106" s="22" t="n">
        <v>30</v>
      </c>
      <c r="C106" s="22" t="n">
        <v>30</v>
      </c>
      <c r="D106" s="22" t="n">
        <v>30</v>
      </c>
      <c r="E106" s="22" t="n">
        <v>30</v>
      </c>
      <c r="F106" s="22" t="n">
        <v>30</v>
      </c>
      <c r="G106" s="22" t="n">
        <v>30</v>
      </c>
      <c r="H106" s="22" t="n">
        <v>30</v>
      </c>
      <c r="I106" s="22" t="n">
        <v>30</v>
      </c>
      <c r="J106" s="22" t="n">
        <v>30</v>
      </c>
      <c r="K106" s="22" t="n">
        <v>30</v>
      </c>
      <c r="L106" s="22" t="n">
        <v>30</v>
      </c>
      <c r="M106" s="22" t="n">
        <v>30</v>
      </c>
      <c r="N106" s="15" t="n">
        <f aca="false">SUM(B106:M106)</f>
        <v>360</v>
      </c>
    </row>
    <row r="107" customFormat="false" ht="15" hidden="false" customHeight="false" outlineLevel="0" collapsed="false">
      <c r="A107" s="12" t="s">
        <v>52</v>
      </c>
      <c r="B107" s="22" t="n">
        <v>48</v>
      </c>
      <c r="C107" s="22" t="n">
        <v>48</v>
      </c>
      <c r="D107" s="22" t="n">
        <v>48</v>
      </c>
      <c r="E107" s="22" t="n">
        <v>48</v>
      </c>
      <c r="F107" s="22" t="n">
        <v>48</v>
      </c>
      <c r="G107" s="22" t="n">
        <v>48</v>
      </c>
      <c r="H107" s="22" t="n">
        <v>48</v>
      </c>
      <c r="I107" s="22" t="n">
        <v>48</v>
      </c>
      <c r="J107" s="22" t="n">
        <v>48</v>
      </c>
      <c r="K107" s="22" t="n">
        <v>48</v>
      </c>
      <c r="L107" s="22" t="n">
        <v>48</v>
      </c>
      <c r="M107" s="22" t="n">
        <v>48</v>
      </c>
      <c r="N107" s="15" t="n">
        <f aca="false">SUM(B107:M107)</f>
        <v>576</v>
      </c>
    </row>
    <row r="108" customFormat="false" ht="15" hidden="false" customHeight="false" outlineLevel="0" collapsed="false">
      <c r="A108" s="12" t="s">
        <v>53</v>
      </c>
      <c r="B108" s="22" t="n">
        <v>24</v>
      </c>
      <c r="C108" s="22" t="n">
        <v>24</v>
      </c>
      <c r="D108" s="22" t="n">
        <v>24</v>
      </c>
      <c r="E108" s="22" t="n">
        <v>24</v>
      </c>
      <c r="F108" s="22" t="n">
        <v>24</v>
      </c>
      <c r="G108" s="22" t="n">
        <v>24</v>
      </c>
      <c r="H108" s="22" t="n">
        <v>24</v>
      </c>
      <c r="I108" s="22" t="n">
        <v>24</v>
      </c>
      <c r="J108" s="22" t="n">
        <v>24</v>
      </c>
      <c r="K108" s="22" t="n">
        <v>24</v>
      </c>
      <c r="L108" s="22" t="n">
        <v>24</v>
      </c>
      <c r="M108" s="22" t="n">
        <v>24</v>
      </c>
      <c r="N108" s="15" t="n">
        <f aca="false">SUM(B108:M108)</f>
        <v>288</v>
      </c>
    </row>
    <row r="109" customFormat="false" ht="15" hidden="false" customHeight="false" outlineLevel="0" collapsed="false">
      <c r="A109" s="23" t="s">
        <v>54</v>
      </c>
      <c r="B109" s="19" t="n">
        <f aca="false">SUM(B102:B108)</f>
        <v>424</v>
      </c>
      <c r="C109" s="19" t="n">
        <f aca="false">SUM(C102:C108)</f>
        <v>420</v>
      </c>
      <c r="D109" s="19" t="n">
        <f aca="false">SUM(D102:D108)</f>
        <v>418</v>
      </c>
      <c r="E109" s="19" t="n">
        <f aca="false">SUM(E102:E108)</f>
        <v>416</v>
      </c>
      <c r="F109" s="19" t="n">
        <f aca="false">SUM(F102:F108)</f>
        <v>417</v>
      </c>
      <c r="G109" s="19" t="n">
        <f aca="false">SUM(G102:G108)</f>
        <v>422</v>
      </c>
      <c r="H109" s="19" t="n">
        <f aca="false">SUM(H102:H108)</f>
        <v>425</v>
      </c>
      <c r="I109" s="19" t="n">
        <f aca="false">SUM(I102:I108)</f>
        <v>428</v>
      </c>
      <c r="J109" s="19" t="n">
        <f aca="false">SUM(J102:J108)</f>
        <v>429</v>
      </c>
      <c r="K109" s="19" t="n">
        <f aca="false">SUM(K102:K108)</f>
        <v>429</v>
      </c>
      <c r="L109" s="19" t="n">
        <f aca="false">SUM(L102:L108)</f>
        <v>429</v>
      </c>
      <c r="M109" s="19" t="n">
        <f aca="false">SUM(M102:M108)</f>
        <v>427</v>
      </c>
      <c r="N109" s="19" t="n">
        <f aca="false">SUM(B109:M109)</f>
        <v>5084</v>
      </c>
    </row>
    <row r="110" customFormat="false" ht="15" hidden="false" customHeight="false" outlineLevel="0" collapsed="false">
      <c r="A110" s="23" t="s">
        <v>55</v>
      </c>
      <c r="B110" s="19" t="n">
        <f aca="false">B100-B109</f>
        <v>856</v>
      </c>
      <c r="C110" s="19" t="n">
        <f aca="false">C100-C109</f>
        <v>770</v>
      </c>
      <c r="D110" s="19" t="n">
        <f aca="false">D100-D109</f>
        <v>722</v>
      </c>
      <c r="E110" s="19" t="n">
        <f aca="false">E100-E109</f>
        <v>673</v>
      </c>
      <c r="F110" s="19" t="n">
        <f aca="false">F100-F109</f>
        <v>685</v>
      </c>
      <c r="G110" s="19" t="n">
        <f aca="false">G100-G109</f>
        <v>798</v>
      </c>
      <c r="H110" s="19" t="n">
        <f aca="false">H100-H109</f>
        <v>876</v>
      </c>
      <c r="I110" s="19" t="n">
        <f aca="false">I100-I109</f>
        <v>939</v>
      </c>
      <c r="J110" s="19" t="n">
        <f aca="false">J100-J109</f>
        <v>960</v>
      </c>
      <c r="K110" s="19" t="n">
        <f aca="false">K100-K109</f>
        <v>951</v>
      </c>
      <c r="L110" s="19" t="n">
        <f aca="false">L100-L109</f>
        <v>945</v>
      </c>
      <c r="M110" s="19" t="n">
        <f aca="false">M100-M109</f>
        <v>902</v>
      </c>
      <c r="N110" s="19" t="n">
        <f aca="false">SUM(B110:M110)</f>
        <v>10077</v>
      </c>
    </row>
    <row r="111" customFormat="false" ht="15" hidden="false" customHeight="false" outlineLevel="0" collapsed="false">
      <c r="A111" s="12" t="s">
        <v>56</v>
      </c>
      <c r="B111" s="24" t="n">
        <f aca="false">IF(B89=0,0,B110/B89)</f>
        <v>0.229736983360172</v>
      </c>
      <c r="C111" s="24" t="n">
        <f aca="false">IF(C89=0,0,C110/C89)</f>
        <v>0.215264187866928</v>
      </c>
      <c r="D111" s="24" t="n">
        <f aca="false">IF(D89=0,0,D110/D89)</f>
        <v>0.206758304696449</v>
      </c>
      <c r="E111" s="24" t="n">
        <f aca="false">IF(E89=0,0,E110/E89)</f>
        <v>0.197418597829275</v>
      </c>
      <c r="F111" s="24" t="n">
        <f aca="false">IF(F89=0,0,F110/F89)</f>
        <v>0.199766695829688</v>
      </c>
      <c r="G111" s="24" t="n">
        <f aca="false">IF(G89=0,0,G110/G89)</f>
        <v>0.219774166896172</v>
      </c>
      <c r="H111" s="24" t="n">
        <f aca="false">IF(H89=0,0,H110/H89)</f>
        <v>0.233226837060703</v>
      </c>
      <c r="I111" s="24" t="n">
        <f aca="false">IF(I89=0,0,I110/I89)</f>
        <v>0.242385131646877</v>
      </c>
      <c r="J111" s="24" t="n">
        <f aca="false">IF(J89=0,0,J110/J89)</f>
        <v>0.245085524636201</v>
      </c>
      <c r="K111" s="24" t="n">
        <f aca="false">IF(K89=0,0,K110/K89)</f>
        <v>0.24347158218126</v>
      </c>
      <c r="L111" s="24" t="n">
        <f aca="false">IF(L89=0,0,L110/L89)</f>
        <v>0.242556468172485</v>
      </c>
      <c r="M111" s="24" t="n">
        <f aca="false">IF(M89=0,0,M110/M89)</f>
        <v>0.23600209314495</v>
      </c>
      <c r="N111" s="24" t="n">
        <f aca="false">IF(N89=0,0,N110/N89)</f>
        <v>0.226780690896816</v>
      </c>
    </row>
    <row r="112" customFormat="false" ht="15" hidden="false" customHeight="false" outlineLevel="0" collapsed="false">
      <c r="A112" s="12" t="s">
        <v>58</v>
      </c>
      <c r="B112" s="22" t="n">
        <v>267</v>
      </c>
      <c r="C112" s="22" t="n">
        <v>267</v>
      </c>
      <c r="D112" s="22" t="n">
        <v>267</v>
      </c>
      <c r="E112" s="22" t="n">
        <v>267</v>
      </c>
      <c r="F112" s="22" t="n">
        <v>267</v>
      </c>
      <c r="G112" s="22" t="n">
        <v>267</v>
      </c>
      <c r="H112" s="22" t="n">
        <v>267</v>
      </c>
      <c r="I112" s="22" t="n">
        <v>267</v>
      </c>
      <c r="J112" s="22" t="n">
        <v>267</v>
      </c>
      <c r="K112" s="22" t="n">
        <v>267</v>
      </c>
      <c r="L112" s="22" t="n">
        <v>267</v>
      </c>
      <c r="M112" s="22" t="n">
        <v>267</v>
      </c>
      <c r="N112" s="15" t="n">
        <f aca="false">SUM(B112:M112)</f>
        <v>3204</v>
      </c>
    </row>
    <row r="113" customFormat="false" ht="15" hidden="false" customHeight="false" outlineLevel="0" collapsed="false">
      <c r="A113" s="12" t="s">
        <v>59</v>
      </c>
      <c r="B113" s="22" t="n">
        <v>173</v>
      </c>
      <c r="C113" s="22" t="n">
        <v>173</v>
      </c>
      <c r="D113" s="22" t="n">
        <v>173</v>
      </c>
      <c r="E113" s="22" t="n">
        <v>173</v>
      </c>
      <c r="F113" s="22" t="n">
        <v>173</v>
      </c>
      <c r="G113" s="22" t="n">
        <v>173</v>
      </c>
      <c r="H113" s="22" t="n">
        <v>173</v>
      </c>
      <c r="I113" s="22" t="n">
        <v>173</v>
      </c>
      <c r="J113" s="22" t="n">
        <v>173</v>
      </c>
      <c r="K113" s="22" t="n">
        <v>173</v>
      </c>
      <c r="L113" s="22" t="n">
        <v>173</v>
      </c>
      <c r="M113" s="22" t="n">
        <v>173</v>
      </c>
      <c r="N113" s="15" t="n">
        <f aca="false">SUM(B113:M113)</f>
        <v>2076</v>
      </c>
    </row>
    <row r="114" customFormat="false" ht="15" hidden="false" customHeight="false" outlineLevel="0" collapsed="false">
      <c r="A114" s="12" t="s">
        <v>60</v>
      </c>
      <c r="B114" s="22" t="n">
        <v>133</v>
      </c>
      <c r="C114" s="22" t="n">
        <v>133</v>
      </c>
      <c r="D114" s="22" t="n">
        <v>133</v>
      </c>
      <c r="E114" s="22" t="n">
        <v>133</v>
      </c>
      <c r="F114" s="22" t="n">
        <v>133</v>
      </c>
      <c r="G114" s="22" t="n">
        <v>133</v>
      </c>
      <c r="H114" s="22" t="n">
        <v>133</v>
      </c>
      <c r="I114" s="22" t="n">
        <v>133</v>
      </c>
      <c r="J114" s="22" t="n">
        <v>133</v>
      </c>
      <c r="K114" s="22" t="n">
        <v>133</v>
      </c>
      <c r="L114" s="22" t="n">
        <v>133</v>
      </c>
      <c r="M114" s="22" t="n">
        <v>133</v>
      </c>
      <c r="N114" s="15" t="n">
        <f aca="false">SUM(B114:M114)</f>
        <v>1596</v>
      </c>
    </row>
    <row r="115" customFormat="false" ht="15" hidden="false" customHeight="false" outlineLevel="0" collapsed="false">
      <c r="A115" s="12" t="s">
        <v>61</v>
      </c>
      <c r="B115" s="22" t="n">
        <v>320</v>
      </c>
      <c r="C115" s="22" t="n">
        <v>320</v>
      </c>
      <c r="D115" s="22" t="n">
        <v>320</v>
      </c>
      <c r="E115" s="22" t="n">
        <v>320</v>
      </c>
      <c r="F115" s="22" t="n">
        <v>320</v>
      </c>
      <c r="G115" s="22" t="n">
        <v>320</v>
      </c>
      <c r="H115" s="22" t="n">
        <v>320</v>
      </c>
      <c r="I115" s="22" t="n">
        <v>320</v>
      </c>
      <c r="J115" s="22" t="n">
        <v>320</v>
      </c>
      <c r="K115" s="22" t="n">
        <v>320</v>
      </c>
      <c r="L115" s="22" t="n">
        <v>320</v>
      </c>
      <c r="M115" s="22" t="n">
        <v>320</v>
      </c>
      <c r="N115" s="15" t="n">
        <f aca="false">SUM(B115:M115)</f>
        <v>3840</v>
      </c>
    </row>
    <row r="116" customFormat="false" ht="15" hidden="false" customHeight="false" outlineLevel="0" collapsed="false">
      <c r="A116" s="12" t="s">
        <v>62</v>
      </c>
      <c r="B116" s="22" t="n">
        <v>8</v>
      </c>
      <c r="C116" s="22" t="n">
        <v>8</v>
      </c>
      <c r="D116" s="22" t="n">
        <v>8</v>
      </c>
      <c r="E116" s="22" t="n">
        <v>8</v>
      </c>
      <c r="F116" s="22" t="n">
        <v>8</v>
      </c>
      <c r="G116" s="22" t="n">
        <v>8</v>
      </c>
      <c r="H116" s="22" t="n">
        <v>8</v>
      </c>
      <c r="I116" s="22" t="n">
        <v>8</v>
      </c>
      <c r="J116" s="22" t="n">
        <v>8</v>
      </c>
      <c r="K116" s="22" t="n">
        <v>8</v>
      </c>
      <c r="L116" s="22" t="n">
        <v>8</v>
      </c>
      <c r="M116" s="22" t="n">
        <v>8</v>
      </c>
      <c r="N116" s="15" t="n">
        <f aca="false">SUM(B116:M116)</f>
        <v>96</v>
      </c>
    </row>
    <row r="117" customFormat="false" ht="15" hidden="false" customHeight="false" outlineLevel="0" collapsed="false">
      <c r="A117" s="23" t="s">
        <v>63</v>
      </c>
      <c r="B117" s="19" t="n">
        <f aca="false">B110-SUM(B112:B116)</f>
        <v>-45</v>
      </c>
      <c r="C117" s="19" t="n">
        <f aca="false">C110-SUM(C112:C116)</f>
        <v>-131</v>
      </c>
      <c r="D117" s="19" t="n">
        <f aca="false">D110-SUM(D112:D116)</f>
        <v>-179</v>
      </c>
      <c r="E117" s="19" t="n">
        <f aca="false">E110-SUM(E112:E116)</f>
        <v>-228</v>
      </c>
      <c r="F117" s="19" t="n">
        <f aca="false">F110-SUM(F112:F116)</f>
        <v>-216</v>
      </c>
      <c r="G117" s="19" t="n">
        <f aca="false">G110-SUM(G112:G116)</f>
        <v>-103</v>
      </c>
      <c r="H117" s="19" t="n">
        <f aca="false">H110-SUM(H112:H116)</f>
        <v>-25</v>
      </c>
      <c r="I117" s="19" t="n">
        <f aca="false">I110-SUM(I112:I116)</f>
        <v>38</v>
      </c>
      <c r="J117" s="19" t="n">
        <f aca="false">J110-SUM(J112:J116)</f>
        <v>59</v>
      </c>
      <c r="K117" s="19" t="n">
        <f aca="false">K110-SUM(K112:K116)</f>
        <v>50</v>
      </c>
      <c r="L117" s="19" t="n">
        <f aca="false">L110-SUM(L112:L116)</f>
        <v>44</v>
      </c>
      <c r="M117" s="19" t="n">
        <f aca="false">M110-SUM(M112:M116)</f>
        <v>1</v>
      </c>
      <c r="N117" s="19" t="n">
        <f aca="false">SUM(B117:M117)</f>
        <v>-735</v>
      </c>
    </row>
  </sheetData>
  <mergeCells count="4">
    <mergeCell ref="A1:N1"/>
    <mergeCell ref="A2:N2"/>
    <mergeCell ref="A3:N3"/>
    <mergeCell ref="A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1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</row>
    <row r="2" customFormat="false" ht="15" hidden="false" customHeight="false" outlineLevel="0" collapsed="false">
      <c r="A2" s="6" t="s">
        <v>94</v>
      </c>
      <c r="B2" s="6"/>
      <c r="C2" s="6"/>
      <c r="D2" s="6"/>
      <c r="E2" s="6"/>
      <c r="F2" s="6"/>
      <c r="G2" s="6"/>
    </row>
    <row r="3" customFormat="false" ht="15" hidden="false" customHeight="false" outlineLevel="0" collapsed="false">
      <c r="A3" s="7" t="s">
        <v>17</v>
      </c>
      <c r="B3" s="7"/>
      <c r="C3" s="7"/>
      <c r="D3" s="7"/>
      <c r="E3" s="7"/>
      <c r="F3" s="7"/>
      <c r="G3" s="7"/>
    </row>
    <row r="4" customFormat="false" ht="15" hidden="false" customHeight="false" outlineLevel="0" collapsed="false">
      <c r="A4" s="8" t="s">
        <v>18</v>
      </c>
      <c r="B4" s="8"/>
      <c r="C4" s="8"/>
      <c r="D4" s="8"/>
      <c r="E4" s="8"/>
      <c r="F4" s="8"/>
      <c r="G4" s="8"/>
    </row>
    <row r="6" customFormat="false" ht="15" hidden="false" customHeight="false" outlineLevel="0" collapsed="false">
      <c r="A6" s="9"/>
      <c r="B6" s="9" t="s">
        <v>95</v>
      </c>
      <c r="C6" s="9" t="s">
        <v>96</v>
      </c>
      <c r="D6" s="9" t="s">
        <v>97</v>
      </c>
      <c r="E6" s="9" t="s">
        <v>98</v>
      </c>
      <c r="F6" s="9" t="s">
        <v>99</v>
      </c>
      <c r="G6" s="9" t="s">
        <v>100</v>
      </c>
    </row>
    <row r="7" customFormat="false" ht="15" hidden="false" customHeight="false" outlineLevel="0" collapsed="false">
      <c r="A7" s="10" t="s">
        <v>101</v>
      </c>
      <c r="B7" s="11"/>
      <c r="C7" s="11"/>
      <c r="D7" s="11"/>
      <c r="E7" s="11"/>
      <c r="F7" s="11"/>
      <c r="G7" s="11"/>
    </row>
    <row r="8" customFormat="false" ht="15" hidden="false" customHeight="false" outlineLevel="0" collapsed="false">
      <c r="A8" s="12" t="s">
        <v>55</v>
      </c>
      <c r="B8" s="15" t="n">
        <f aca="false">'P&amp;L Summary'!B34</f>
        <v>2302</v>
      </c>
      <c r="C8" s="15" t="n">
        <f aca="false">'P&amp;L Summary'!C34</f>
        <v>2278</v>
      </c>
      <c r="D8" s="15" t="n">
        <f aca="false">'P&amp;L Summary'!D34</f>
        <v>2706</v>
      </c>
      <c r="E8" s="15" t="n">
        <f aca="false">'P&amp;L Summary'!E34</f>
        <v>2426</v>
      </c>
      <c r="F8" s="14" t="n">
        <f aca="false">SUM(B8:E8)</f>
        <v>9712</v>
      </c>
      <c r="G8" s="21"/>
    </row>
    <row r="9" customFormat="false" ht="15" hidden="false" customHeight="false" outlineLevel="0" collapsed="false">
      <c r="A9" s="12" t="s">
        <v>102</v>
      </c>
      <c r="B9" s="22" t="n">
        <v>-999</v>
      </c>
      <c r="C9" s="22" t="n">
        <v>-999</v>
      </c>
      <c r="D9" s="22" t="n">
        <v>-999</v>
      </c>
      <c r="E9" s="22" t="n">
        <v>-999</v>
      </c>
      <c r="F9" s="14" t="n">
        <f aca="false">SUM(B9:E9)</f>
        <v>-3996</v>
      </c>
      <c r="G9" s="21"/>
    </row>
    <row r="10" customFormat="false" ht="15" hidden="false" customHeight="false" outlineLevel="0" collapsed="false">
      <c r="A10" s="12" t="s">
        <v>103</v>
      </c>
      <c r="B10" s="22" t="n">
        <v>-24</v>
      </c>
      <c r="C10" s="22" t="n">
        <v>-24</v>
      </c>
      <c r="D10" s="22" t="n">
        <v>-24</v>
      </c>
      <c r="E10" s="22" t="n">
        <v>-24</v>
      </c>
      <c r="F10" s="14" t="n">
        <f aca="false">SUM(B10:E10)</f>
        <v>-96</v>
      </c>
      <c r="G10" s="21"/>
    </row>
    <row r="11" customFormat="false" ht="15" hidden="false" customHeight="false" outlineLevel="0" collapsed="false">
      <c r="A11" s="12" t="s">
        <v>104</v>
      </c>
      <c r="B11" s="22" t="n">
        <v>120</v>
      </c>
      <c r="C11" s="22" t="n">
        <v>160</v>
      </c>
      <c r="D11" s="22" t="n">
        <v>-380</v>
      </c>
      <c r="E11" s="22" t="n">
        <v>-220</v>
      </c>
      <c r="F11" s="14" t="n">
        <f aca="false">SUM(B11:E11)</f>
        <v>-320</v>
      </c>
      <c r="G11" s="21" t="s">
        <v>105</v>
      </c>
    </row>
    <row r="12" customFormat="false" ht="15" hidden="false" customHeight="false" outlineLevel="0" collapsed="false">
      <c r="A12" s="23" t="s">
        <v>106</v>
      </c>
      <c r="B12" s="14" t="n">
        <f aca="false">SUM(B8:B11)</f>
        <v>1399</v>
      </c>
      <c r="C12" s="14" t="n">
        <f aca="false">SUM(C8:C11)</f>
        <v>1415</v>
      </c>
      <c r="D12" s="14" t="n">
        <f aca="false">SUM(D8:D11)</f>
        <v>1303</v>
      </c>
      <c r="E12" s="14" t="n">
        <f aca="false">SUM(E8:E11)</f>
        <v>1183</v>
      </c>
      <c r="F12" s="14" t="n">
        <f aca="false">SUM(B12:E12)</f>
        <v>5300</v>
      </c>
      <c r="G12" s="21"/>
    </row>
    <row r="14" customFormat="false" ht="15" hidden="false" customHeight="false" outlineLevel="0" collapsed="false">
      <c r="A14" s="10" t="s">
        <v>107</v>
      </c>
      <c r="B14" s="11"/>
      <c r="C14" s="11"/>
      <c r="D14" s="11"/>
      <c r="E14" s="11"/>
      <c r="F14" s="11"/>
      <c r="G14" s="11"/>
    </row>
    <row r="15" customFormat="false" ht="15" hidden="false" customHeight="false" outlineLevel="0" collapsed="false">
      <c r="A15" s="12" t="s">
        <v>108</v>
      </c>
      <c r="B15" s="22" t="n">
        <v>-500</v>
      </c>
      <c r="C15" s="22" t="n">
        <v>-450</v>
      </c>
      <c r="D15" s="22" t="n">
        <v>-600</v>
      </c>
      <c r="E15" s="22" t="n">
        <v>-550</v>
      </c>
      <c r="F15" s="14" t="n">
        <f aca="false">SUM(B15:E15)</f>
        <v>-2100</v>
      </c>
      <c r="G15" s="21" t="s">
        <v>109</v>
      </c>
    </row>
    <row r="16" customFormat="false" ht="15" hidden="false" customHeight="false" outlineLevel="0" collapsed="false">
      <c r="A16" s="12" t="s">
        <v>110</v>
      </c>
      <c r="B16" s="22" t="n">
        <v>-250</v>
      </c>
      <c r="C16" s="22" t="n">
        <v>-200</v>
      </c>
      <c r="D16" s="22" t="n">
        <v>-250</v>
      </c>
      <c r="E16" s="22" t="n">
        <v>-200</v>
      </c>
      <c r="F16" s="14" t="n">
        <f aca="false">SUM(B16:E16)</f>
        <v>-900</v>
      </c>
      <c r="G16" s="21" t="s">
        <v>111</v>
      </c>
    </row>
    <row r="17" customFormat="false" ht="15" hidden="false" customHeight="false" outlineLevel="0" collapsed="false">
      <c r="A17" s="23" t="s">
        <v>112</v>
      </c>
      <c r="B17" s="14" t="n">
        <f aca="false">B15+B16</f>
        <v>-750</v>
      </c>
      <c r="C17" s="14" t="n">
        <f aca="false">C15+C16</f>
        <v>-650</v>
      </c>
      <c r="D17" s="14" t="n">
        <f aca="false">D15+D16</f>
        <v>-850</v>
      </c>
      <c r="E17" s="14" t="n">
        <f aca="false">E15+E16</f>
        <v>-750</v>
      </c>
      <c r="F17" s="14" t="n">
        <f aca="false">SUM(B17:E17)</f>
        <v>-3000</v>
      </c>
      <c r="G17" s="21"/>
    </row>
    <row r="19" customFormat="false" ht="15" hidden="false" customHeight="false" outlineLevel="0" collapsed="false">
      <c r="A19" s="10" t="s">
        <v>113</v>
      </c>
      <c r="B19" s="11"/>
      <c r="C19" s="11"/>
      <c r="D19" s="11"/>
      <c r="E19" s="11"/>
      <c r="F19" s="11"/>
      <c r="G19" s="11"/>
    </row>
    <row r="20" customFormat="false" ht="15" hidden="false" customHeight="false" outlineLevel="0" collapsed="false">
      <c r="A20" s="12" t="s">
        <v>114</v>
      </c>
      <c r="B20" s="22" t="n">
        <v>-650</v>
      </c>
      <c r="C20" s="22" t="n">
        <v>-650</v>
      </c>
      <c r="D20" s="22" t="n">
        <v>-650</v>
      </c>
      <c r="E20" s="22" t="n">
        <v>-650</v>
      </c>
      <c r="F20" s="14" t="n">
        <f aca="false">SUM(B20:E20)</f>
        <v>-2600</v>
      </c>
      <c r="G20" s="21"/>
    </row>
    <row r="21" customFormat="false" ht="15" hidden="false" customHeight="false" outlineLevel="0" collapsed="false">
      <c r="A21" s="12" t="s">
        <v>115</v>
      </c>
      <c r="B21" s="22" t="n">
        <v>-100</v>
      </c>
      <c r="C21" s="22" t="n">
        <v>-100</v>
      </c>
      <c r="D21" s="22" t="n">
        <v>-100</v>
      </c>
      <c r="E21" s="22" t="n">
        <v>-100</v>
      </c>
      <c r="F21" s="14" t="n">
        <f aca="false">SUM(B21:E21)</f>
        <v>-400</v>
      </c>
      <c r="G21" s="21"/>
    </row>
    <row r="22" customFormat="false" ht="15" hidden="false" customHeight="false" outlineLevel="0" collapsed="false">
      <c r="A22" s="12" t="s">
        <v>116</v>
      </c>
      <c r="B22" s="22" t="n">
        <v>0</v>
      </c>
      <c r="C22" s="22" t="n">
        <v>0</v>
      </c>
      <c r="D22" s="22" t="n">
        <v>0</v>
      </c>
      <c r="E22" s="22" t="n">
        <v>0</v>
      </c>
      <c r="F22" s="14" t="n">
        <f aca="false">SUM(B22:E22)</f>
        <v>0</v>
      </c>
      <c r="G22" s="21"/>
    </row>
    <row r="23" customFormat="false" ht="15" hidden="false" customHeight="false" outlineLevel="0" collapsed="false">
      <c r="A23" s="23" t="s">
        <v>117</v>
      </c>
      <c r="B23" s="14" t="n">
        <f aca="false">SUM(B20:B22)</f>
        <v>-750</v>
      </c>
      <c r="C23" s="14" t="n">
        <f aca="false">SUM(C20:C22)</f>
        <v>-750</v>
      </c>
      <c r="D23" s="14" t="n">
        <f aca="false">SUM(D20:D22)</f>
        <v>-750</v>
      </c>
      <c r="E23" s="14" t="n">
        <f aca="false">SUM(E20:E22)</f>
        <v>-750</v>
      </c>
      <c r="F23" s="14" t="n">
        <f aca="false">SUM(B23:E23)</f>
        <v>-3000</v>
      </c>
      <c r="G23" s="21"/>
    </row>
    <row r="25" customFormat="false" ht="15" hidden="false" customHeight="false" outlineLevel="0" collapsed="false">
      <c r="A25" s="23" t="s">
        <v>118</v>
      </c>
      <c r="B25" s="14" t="n">
        <f aca="false">B12+B17+B23</f>
        <v>-101</v>
      </c>
      <c r="C25" s="14" t="n">
        <f aca="false">C12+C17+C23</f>
        <v>15</v>
      </c>
      <c r="D25" s="14" t="n">
        <f aca="false">D12+D17+D23</f>
        <v>-297</v>
      </c>
      <c r="E25" s="14" t="n">
        <f aca="false">E12+E17+E23</f>
        <v>-317</v>
      </c>
      <c r="F25" s="14" t="n">
        <f aca="false">SUM(B25:E25)</f>
        <v>-700</v>
      </c>
      <c r="G25" s="21"/>
    </row>
    <row r="26" customFormat="false" ht="15" hidden="false" customHeight="false" outlineLevel="0" collapsed="false">
      <c r="A26" s="12" t="s">
        <v>119</v>
      </c>
      <c r="B26" s="22" t="n">
        <v>3200</v>
      </c>
      <c r="C26" s="22" t="n">
        <v>3099</v>
      </c>
      <c r="D26" s="22" t="n">
        <v>3114</v>
      </c>
      <c r="E26" s="22" t="n">
        <v>2817</v>
      </c>
      <c r="F26" s="14" t="n">
        <f aca="false">B26</f>
        <v>3200</v>
      </c>
      <c r="G26" s="21"/>
    </row>
    <row r="27" customFormat="false" ht="15" hidden="false" customHeight="false" outlineLevel="0" collapsed="false">
      <c r="A27" s="23" t="s">
        <v>120</v>
      </c>
      <c r="B27" s="14" t="n">
        <f aca="false">B26+B25</f>
        <v>3099</v>
      </c>
      <c r="C27" s="14" t="n">
        <f aca="false">C26+C25</f>
        <v>3114</v>
      </c>
      <c r="D27" s="14" t="n">
        <f aca="false">D26+D25</f>
        <v>2817</v>
      </c>
      <c r="E27" s="14" t="n">
        <f aca="false">E26+E25</f>
        <v>2500</v>
      </c>
      <c r="F27" s="14" t="n">
        <f aca="false">E27</f>
        <v>2500</v>
      </c>
      <c r="G27" s="21"/>
    </row>
    <row r="29" customFormat="false" ht="15" hidden="false" customHeight="false" outlineLevel="0" collapsed="false">
      <c r="A29" s="10" t="s">
        <v>121</v>
      </c>
      <c r="B29" s="11"/>
      <c r="C29" s="11"/>
      <c r="D29" s="11"/>
      <c r="E29" s="11"/>
      <c r="F29" s="11"/>
      <c r="G29" s="11"/>
    </row>
    <row r="30" customFormat="false" ht="15" hidden="false" customHeight="false" outlineLevel="0" collapsed="false">
      <c r="A30" s="12" t="s">
        <v>122</v>
      </c>
      <c r="B30" s="22" t="n">
        <v>900</v>
      </c>
      <c r="C30" s="22" t="n">
        <v>1000</v>
      </c>
      <c r="D30" s="22" t="n">
        <v>1200</v>
      </c>
      <c r="E30" s="22" t="n">
        <v>1200</v>
      </c>
      <c r="F30" s="14" t="n">
        <f aca="false">SUM(B30:E30)</f>
        <v>4300</v>
      </c>
      <c r="G30" s="21" t="s">
        <v>123</v>
      </c>
    </row>
    <row r="32" customFormat="false" ht="15" hidden="false" customHeight="false" outlineLevel="0" collapsed="false">
      <c r="A32" s="10" t="s">
        <v>124</v>
      </c>
      <c r="B32" s="11"/>
      <c r="C32" s="11"/>
      <c r="D32" s="11"/>
      <c r="E32" s="11"/>
      <c r="F32" s="11"/>
      <c r="G32" s="11"/>
    </row>
    <row r="33" customFormat="false" ht="15" hidden="false" customHeight="false" outlineLevel="0" collapsed="false">
      <c r="A33" s="12" t="s">
        <v>55</v>
      </c>
      <c r="B33" s="15" t="n">
        <f aca="false">B8</f>
        <v>2302</v>
      </c>
      <c r="C33" s="15" t="n">
        <f aca="false">C8</f>
        <v>2278</v>
      </c>
      <c r="D33" s="15" t="n">
        <f aca="false">D8</f>
        <v>2706</v>
      </c>
      <c r="E33" s="15" t="n">
        <f aca="false">E8</f>
        <v>2426</v>
      </c>
      <c r="F33" s="14" t="n">
        <f aca="false">SUM(B33:E33)</f>
        <v>9712</v>
      </c>
      <c r="G33" s="21"/>
    </row>
    <row r="34" customFormat="false" ht="15" hidden="false" customHeight="false" outlineLevel="0" collapsed="false">
      <c r="A34" s="12" t="s">
        <v>125</v>
      </c>
      <c r="B34" s="15" t="n">
        <f aca="false">B17</f>
        <v>-750</v>
      </c>
      <c r="C34" s="15" t="n">
        <f aca="false">C17</f>
        <v>-650</v>
      </c>
      <c r="D34" s="15" t="n">
        <f aca="false">D17</f>
        <v>-850</v>
      </c>
      <c r="E34" s="15" t="n">
        <f aca="false">E17</f>
        <v>-750</v>
      </c>
      <c r="F34" s="14" t="n">
        <f aca="false">SUM(B34:E34)</f>
        <v>-3000</v>
      </c>
      <c r="G34" s="21"/>
    </row>
    <row r="35" customFormat="false" ht="15" hidden="false" customHeight="false" outlineLevel="0" collapsed="false">
      <c r="A35" s="23" t="s">
        <v>126</v>
      </c>
      <c r="B35" s="14" t="n">
        <f aca="false">B33+B34</f>
        <v>1552</v>
      </c>
      <c r="C35" s="14" t="n">
        <f aca="false">C33+C34</f>
        <v>1628</v>
      </c>
      <c r="D35" s="14" t="n">
        <f aca="false">D33+D34</f>
        <v>1856</v>
      </c>
      <c r="E35" s="14" t="n">
        <f aca="false">E33+E34</f>
        <v>1676</v>
      </c>
      <c r="F35" s="14" t="n">
        <f aca="false">SUM(B35:E35)</f>
        <v>6712</v>
      </c>
      <c r="G35" s="21"/>
    </row>
    <row r="36" customFormat="false" ht="15" hidden="false" customHeight="false" outlineLevel="0" collapsed="false">
      <c r="A36" s="12" t="s">
        <v>127</v>
      </c>
      <c r="B36" s="24" t="n">
        <f aca="false">IF(B33=0,0,B35/B33)</f>
        <v>0.674196350999131</v>
      </c>
      <c r="C36" s="24" t="n">
        <f aca="false">IF(C33=0,0,C35/C33)</f>
        <v>0.714661984196664</v>
      </c>
      <c r="D36" s="24" t="n">
        <f aca="false">IF(D33=0,0,D35/D33)</f>
        <v>0.685883222468588</v>
      </c>
      <c r="E36" s="24" t="n">
        <f aca="false">IF(E33=0,0,E35/E33)</f>
        <v>0.690849134377576</v>
      </c>
      <c r="F36" s="25" t="n">
        <f aca="false">IF(F33=0,0,F35/F33)</f>
        <v>0.691103789126853</v>
      </c>
      <c r="G36" s="21"/>
    </row>
  </sheetData>
  <mergeCells count="4">
    <mergeCell ref="A1:G1"/>
    <mergeCell ref="A2:G2"/>
    <mergeCell ref="A3:G3"/>
    <mergeCell ref="A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5" t="s">
        <v>0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6" t="s">
        <v>128</v>
      </c>
      <c r="B2" s="6"/>
      <c r="C2" s="6"/>
      <c r="D2" s="6"/>
      <c r="E2" s="6"/>
      <c r="F2" s="6"/>
    </row>
    <row r="3" customFormat="false" ht="15" hidden="false" customHeight="false" outlineLevel="0" collapsed="false">
      <c r="A3" s="7" t="s">
        <v>17</v>
      </c>
      <c r="B3" s="7"/>
      <c r="C3" s="7"/>
      <c r="D3" s="7"/>
      <c r="E3" s="7"/>
      <c r="F3" s="7"/>
    </row>
    <row r="4" customFormat="false" ht="15" hidden="false" customHeight="false" outlineLevel="0" collapsed="false">
      <c r="A4" s="8" t="s">
        <v>18</v>
      </c>
      <c r="B4" s="8"/>
      <c r="C4" s="8"/>
      <c r="D4" s="8"/>
      <c r="E4" s="8"/>
      <c r="F4" s="8"/>
    </row>
    <row r="6" customFormat="false" ht="15" hidden="false" customHeight="false" outlineLevel="0" collapsed="false">
      <c r="A6" s="9"/>
      <c r="B6" s="9" t="s">
        <v>129</v>
      </c>
      <c r="C6" s="9" t="s">
        <v>130</v>
      </c>
      <c r="D6" s="9" t="s">
        <v>131</v>
      </c>
      <c r="E6" s="9" t="s">
        <v>132</v>
      </c>
      <c r="F6" s="9" t="s">
        <v>133</v>
      </c>
    </row>
    <row r="7" customFormat="false" ht="15" hidden="false" customHeight="false" outlineLevel="0" collapsed="false">
      <c r="A7" s="10" t="s">
        <v>134</v>
      </c>
      <c r="B7" s="11"/>
      <c r="C7" s="11"/>
      <c r="D7" s="11"/>
      <c r="E7" s="11"/>
      <c r="F7" s="11"/>
    </row>
    <row r="8" customFormat="false" ht="15" hidden="false" customHeight="false" outlineLevel="0" collapsed="false">
      <c r="A8" s="12" t="s">
        <v>135</v>
      </c>
      <c r="B8" s="22" t="n">
        <v>3200</v>
      </c>
      <c r="C8" s="22" t="n">
        <v>3099</v>
      </c>
      <c r="D8" s="22" t="n">
        <v>3114</v>
      </c>
      <c r="E8" s="22" t="n">
        <v>2817</v>
      </c>
      <c r="F8" s="22" t="n">
        <v>2500</v>
      </c>
    </row>
    <row r="9" customFormat="false" ht="15" hidden="false" customHeight="false" outlineLevel="0" collapsed="false">
      <c r="A9" s="12" t="s">
        <v>136</v>
      </c>
      <c r="B9" s="22" t="n">
        <v>4700</v>
      </c>
      <c r="C9" s="22" t="n">
        <v>4520</v>
      </c>
      <c r="D9" s="22" t="n">
        <v>4380</v>
      </c>
      <c r="E9" s="22" t="n">
        <v>4960</v>
      </c>
      <c r="F9" s="22" t="n">
        <v>5240</v>
      </c>
    </row>
    <row r="10" customFormat="false" ht="15" hidden="false" customHeight="false" outlineLevel="0" collapsed="false">
      <c r="A10" s="12" t="s">
        <v>137</v>
      </c>
      <c r="B10" s="22" t="n">
        <v>900</v>
      </c>
      <c r="C10" s="22" t="n">
        <v>920</v>
      </c>
      <c r="D10" s="22" t="n">
        <v>940</v>
      </c>
      <c r="E10" s="22" t="n">
        <v>930</v>
      </c>
      <c r="F10" s="22" t="n">
        <v>950</v>
      </c>
    </row>
    <row r="11" customFormat="false" ht="15" hidden="false" customHeight="false" outlineLevel="0" collapsed="false">
      <c r="A11" s="12" t="s">
        <v>138</v>
      </c>
      <c r="B11" s="22" t="n">
        <v>24000</v>
      </c>
      <c r="C11" s="22" t="n">
        <v>23949</v>
      </c>
      <c r="D11" s="22" t="n">
        <v>23798</v>
      </c>
      <c r="E11" s="22" t="n">
        <v>23847</v>
      </c>
      <c r="F11" s="22" t="n">
        <v>23796</v>
      </c>
    </row>
    <row r="12" customFormat="false" ht="15" hidden="false" customHeight="false" outlineLevel="0" collapsed="false">
      <c r="A12" s="12" t="s">
        <v>139</v>
      </c>
      <c r="B12" s="22" t="n">
        <v>9500</v>
      </c>
      <c r="C12" s="22" t="n">
        <v>9824</v>
      </c>
      <c r="D12" s="22" t="n">
        <v>10248</v>
      </c>
      <c r="E12" s="22" t="n">
        <v>10872</v>
      </c>
      <c r="F12" s="22" t="n">
        <v>11496</v>
      </c>
    </row>
    <row r="13" customFormat="false" ht="15" hidden="false" customHeight="false" outlineLevel="0" collapsed="false">
      <c r="A13" s="12" t="s">
        <v>140</v>
      </c>
      <c r="B13" s="22" t="n">
        <v>38000</v>
      </c>
      <c r="C13" s="22" t="n">
        <v>37601</v>
      </c>
      <c r="D13" s="22" t="n">
        <v>37202</v>
      </c>
      <c r="E13" s="22" t="n">
        <v>36803</v>
      </c>
      <c r="F13" s="22" t="n">
        <v>36404</v>
      </c>
    </row>
    <row r="14" customFormat="false" ht="15" hidden="false" customHeight="false" outlineLevel="0" collapsed="false">
      <c r="A14" s="23" t="s">
        <v>141</v>
      </c>
      <c r="B14" s="19" t="n">
        <f aca="false">SUM(B8:B13)</f>
        <v>80300</v>
      </c>
      <c r="C14" s="19" t="n">
        <f aca="false">SUM(C8:C13)</f>
        <v>79913</v>
      </c>
      <c r="D14" s="19" t="n">
        <f aca="false">SUM(D8:D13)</f>
        <v>79682</v>
      </c>
      <c r="E14" s="19" t="n">
        <f aca="false">SUM(E8:E13)</f>
        <v>80229</v>
      </c>
      <c r="F14" s="19" t="n">
        <f aca="false">SUM(F8:F13)</f>
        <v>80386</v>
      </c>
    </row>
    <row r="16" customFormat="false" ht="15" hidden="false" customHeight="false" outlineLevel="0" collapsed="false">
      <c r="A16" s="10" t="s">
        <v>142</v>
      </c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12" t="s">
        <v>143</v>
      </c>
      <c r="B17" s="22" t="n">
        <v>2400</v>
      </c>
      <c r="C17" s="22" t="n">
        <v>2380</v>
      </c>
      <c r="D17" s="22" t="n">
        <v>2350</v>
      </c>
      <c r="E17" s="22" t="n">
        <v>2480</v>
      </c>
      <c r="F17" s="22" t="n">
        <v>2510</v>
      </c>
    </row>
    <row r="18" customFormat="false" ht="15" hidden="false" customHeight="false" outlineLevel="0" collapsed="false">
      <c r="A18" s="12" t="s">
        <v>144</v>
      </c>
      <c r="B18" s="22" t="n">
        <v>1900</v>
      </c>
      <c r="C18" s="22" t="n">
        <v>1880</v>
      </c>
      <c r="D18" s="22" t="n">
        <v>1950</v>
      </c>
      <c r="E18" s="22" t="n">
        <v>2010</v>
      </c>
      <c r="F18" s="22" t="n">
        <v>2060</v>
      </c>
    </row>
    <row r="19" customFormat="false" ht="15" hidden="false" customHeight="false" outlineLevel="0" collapsed="false">
      <c r="A19" s="12" t="s">
        <v>145</v>
      </c>
      <c r="B19" s="22" t="n">
        <v>1000</v>
      </c>
      <c r="C19" s="22" t="n">
        <v>1000</v>
      </c>
      <c r="D19" s="22" t="n">
        <v>1000</v>
      </c>
      <c r="E19" s="22" t="n">
        <v>1000</v>
      </c>
      <c r="F19" s="22" t="n">
        <v>1000</v>
      </c>
    </row>
    <row r="20" customFormat="false" ht="15" hidden="false" customHeight="false" outlineLevel="0" collapsed="false">
      <c r="A20" s="12" t="s">
        <v>146</v>
      </c>
      <c r="B20" s="22" t="n">
        <v>40000</v>
      </c>
      <c r="C20" s="22" t="n">
        <v>39900</v>
      </c>
      <c r="D20" s="22" t="n">
        <v>39800</v>
      </c>
      <c r="E20" s="22" t="n">
        <v>39700</v>
      </c>
      <c r="F20" s="22" t="n">
        <v>39600</v>
      </c>
    </row>
    <row r="21" customFormat="false" ht="15" hidden="false" customHeight="false" outlineLevel="0" collapsed="false">
      <c r="A21" s="12" t="s">
        <v>147</v>
      </c>
      <c r="B21" s="22" t="n">
        <v>9800</v>
      </c>
      <c r="C21" s="22" t="n">
        <v>10050</v>
      </c>
      <c r="D21" s="22" t="n">
        <v>10400</v>
      </c>
      <c r="E21" s="22" t="n">
        <v>10950</v>
      </c>
      <c r="F21" s="22" t="n">
        <v>11500</v>
      </c>
    </row>
    <row r="22" customFormat="false" ht="15" hidden="false" customHeight="false" outlineLevel="0" collapsed="false">
      <c r="A22" s="23" t="s">
        <v>148</v>
      </c>
      <c r="B22" s="19" t="n">
        <f aca="false">SUM(B17:B21)</f>
        <v>55100</v>
      </c>
      <c r="C22" s="19" t="n">
        <f aca="false">SUM(C17:C21)</f>
        <v>55210</v>
      </c>
      <c r="D22" s="19" t="n">
        <f aca="false">SUM(D17:D21)</f>
        <v>55500</v>
      </c>
      <c r="E22" s="19" t="n">
        <f aca="false">SUM(E17:E21)</f>
        <v>56140</v>
      </c>
      <c r="F22" s="19" t="n">
        <f aca="false">SUM(F17:F21)</f>
        <v>56670</v>
      </c>
    </row>
    <row r="23" customFormat="false" ht="15" hidden="false" customHeight="false" outlineLevel="0" collapsed="false">
      <c r="A23" s="12" t="s">
        <v>149</v>
      </c>
      <c r="B23" s="22" t="n">
        <v>25200</v>
      </c>
      <c r="C23" s="22" t="n">
        <v>24703</v>
      </c>
      <c r="D23" s="22" t="n">
        <v>24182</v>
      </c>
      <c r="E23" s="22" t="n">
        <v>24089</v>
      </c>
      <c r="F23" s="22" t="n">
        <v>23716</v>
      </c>
    </row>
    <row r="24" customFormat="false" ht="15" hidden="false" customHeight="false" outlineLevel="0" collapsed="false">
      <c r="A24" s="23" t="s">
        <v>150</v>
      </c>
      <c r="B24" s="19" t="n">
        <f aca="false">B22+B23</f>
        <v>80300</v>
      </c>
      <c r="C24" s="19" t="n">
        <f aca="false">C22+C23</f>
        <v>79913</v>
      </c>
      <c r="D24" s="19" t="n">
        <f aca="false">D22+D23</f>
        <v>79682</v>
      </c>
      <c r="E24" s="19" t="n">
        <f aca="false">E22+E23</f>
        <v>80229</v>
      </c>
      <c r="F24" s="19" t="n">
        <f aca="false">F22+F23</f>
        <v>80386</v>
      </c>
    </row>
    <row r="26" customFormat="false" ht="15" hidden="false" customHeight="false" outlineLevel="0" collapsed="false">
      <c r="A26" s="12" t="s">
        <v>151</v>
      </c>
      <c r="B26" s="15" t="n">
        <f aca="false">B19+B20+B21</f>
        <v>50800</v>
      </c>
      <c r="C26" s="15" t="n">
        <f aca="false">C19+C20+C21</f>
        <v>50950</v>
      </c>
      <c r="D26" s="15" t="n">
        <f aca="false">D19+D20+D21</f>
        <v>51200</v>
      </c>
      <c r="E26" s="15" t="n">
        <f aca="false">E19+E20+E21</f>
        <v>51650</v>
      </c>
      <c r="F26" s="15" t="n">
        <f aca="false">F19+F20+F21</f>
        <v>52100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6" t="s">
        <v>152</v>
      </c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7" t="s">
        <v>17</v>
      </c>
      <c r="B3" s="7"/>
      <c r="C3" s="7"/>
      <c r="D3" s="7"/>
      <c r="E3" s="7"/>
      <c r="F3" s="7"/>
      <c r="G3" s="7"/>
      <c r="H3" s="7"/>
    </row>
    <row r="4" customFormat="false" ht="15" hidden="false" customHeight="false" outlineLevel="0" collapsed="false">
      <c r="A4" s="8" t="s">
        <v>18</v>
      </c>
      <c r="B4" s="8"/>
      <c r="C4" s="8"/>
      <c r="D4" s="8"/>
      <c r="E4" s="8"/>
      <c r="F4" s="8"/>
      <c r="G4" s="8"/>
      <c r="H4" s="8"/>
    </row>
    <row r="6" customFormat="false" ht="23.85" hidden="false" customHeight="false" outlineLevel="0" collapsed="false">
      <c r="A6" s="9"/>
      <c r="B6" s="9" t="s">
        <v>153</v>
      </c>
      <c r="C6" s="9" t="s">
        <v>154</v>
      </c>
      <c r="D6" s="9" t="s">
        <v>155</v>
      </c>
      <c r="E6" s="9" t="s">
        <v>156</v>
      </c>
      <c r="F6" s="9" t="s">
        <v>157</v>
      </c>
      <c r="G6" s="9" t="s">
        <v>158</v>
      </c>
      <c r="H6" s="9" t="s">
        <v>100</v>
      </c>
    </row>
    <row r="7" customFormat="false" ht="15" hidden="false" customHeight="false" outlineLevel="0" collapsed="false">
      <c r="A7" s="10" t="s">
        <v>23</v>
      </c>
      <c r="B7" s="11"/>
      <c r="C7" s="11"/>
      <c r="D7" s="11"/>
      <c r="E7" s="11"/>
      <c r="F7" s="11"/>
      <c r="G7" s="11"/>
      <c r="H7" s="11"/>
    </row>
    <row r="8" customFormat="false" ht="15" hidden="false" customHeight="false" outlineLevel="0" collapsed="false">
      <c r="A8" s="12" t="s">
        <v>28</v>
      </c>
      <c r="B8" s="22" t="n">
        <v>17845</v>
      </c>
      <c r="C8" s="22" t="n">
        <v>13042</v>
      </c>
      <c r="D8" s="22" t="n">
        <v>11722</v>
      </c>
      <c r="E8" s="22" t="n">
        <v>3144</v>
      </c>
      <c r="F8" s="22" t="n">
        <v>897</v>
      </c>
      <c r="G8" s="14" t="n">
        <f aca="false">SUM(B8:F8)</f>
        <v>46650</v>
      </c>
      <c r="H8" s="21" t="s">
        <v>159</v>
      </c>
    </row>
    <row r="9" customFormat="false" ht="15" hidden="false" customHeight="false" outlineLevel="0" collapsed="false">
      <c r="A9" s="12" t="s">
        <v>160</v>
      </c>
      <c r="B9" s="22" t="n">
        <v>3940</v>
      </c>
      <c r="C9" s="22" t="n">
        <v>3153</v>
      </c>
      <c r="D9" s="22" t="n">
        <v>2642</v>
      </c>
      <c r="E9" s="22" t="n">
        <v>0</v>
      </c>
      <c r="F9" s="22" t="n">
        <v>0</v>
      </c>
      <c r="G9" s="14" t="n">
        <f aca="false">SUM(B9:F9)</f>
        <v>9735</v>
      </c>
      <c r="H9" s="21"/>
    </row>
    <row r="10" customFormat="false" ht="15" hidden="false" customHeight="false" outlineLevel="0" collapsed="false">
      <c r="A10" s="12" t="s">
        <v>161</v>
      </c>
      <c r="B10" s="22" t="n">
        <v>3514</v>
      </c>
      <c r="C10" s="22" t="n">
        <v>2857</v>
      </c>
      <c r="D10" s="22" t="n">
        <v>2800</v>
      </c>
      <c r="E10" s="22" t="n">
        <v>0</v>
      </c>
      <c r="F10" s="22" t="n">
        <v>0</v>
      </c>
      <c r="G10" s="14" t="n">
        <f aca="false">SUM(B10:F10)</f>
        <v>9171</v>
      </c>
      <c r="H10" s="21"/>
    </row>
    <row r="11" customFormat="false" ht="15" hidden="false" customHeight="false" outlineLevel="0" collapsed="false">
      <c r="A11" s="12" t="s">
        <v>162</v>
      </c>
      <c r="B11" s="22" t="n">
        <v>1503</v>
      </c>
      <c r="C11" s="22" t="n">
        <v>1260</v>
      </c>
      <c r="D11" s="22" t="n">
        <v>1069</v>
      </c>
      <c r="E11" s="22" t="n">
        <v>0</v>
      </c>
      <c r="F11" s="22" t="n">
        <v>0</v>
      </c>
      <c r="G11" s="14" t="n">
        <f aca="false">SUM(B11:F11)</f>
        <v>3832</v>
      </c>
      <c r="H11" s="21"/>
    </row>
    <row r="12" customFormat="false" ht="15" hidden="false" customHeight="false" outlineLevel="0" collapsed="false">
      <c r="A12" s="12" t="s">
        <v>163</v>
      </c>
      <c r="B12" s="22" t="n">
        <v>1288</v>
      </c>
      <c r="C12" s="22" t="n">
        <v>1990</v>
      </c>
      <c r="D12" s="22" t="n">
        <v>912</v>
      </c>
      <c r="E12" s="22" t="n">
        <v>346</v>
      </c>
      <c r="F12" s="22" t="n">
        <v>0</v>
      </c>
      <c r="G12" s="14" t="n">
        <f aca="false">SUM(B12:F12)</f>
        <v>4536</v>
      </c>
      <c r="H12" s="21"/>
    </row>
    <row r="13" customFormat="false" ht="15" hidden="false" customHeight="false" outlineLevel="0" collapsed="false">
      <c r="A13" s="12" t="s">
        <v>164</v>
      </c>
      <c r="B13" s="22" t="n">
        <v>0</v>
      </c>
      <c r="C13" s="22" t="n">
        <v>0</v>
      </c>
      <c r="D13" s="22" t="n">
        <v>0</v>
      </c>
      <c r="E13" s="22" t="n">
        <v>2388</v>
      </c>
      <c r="F13" s="22" t="n">
        <v>0</v>
      </c>
      <c r="G13" s="14" t="n">
        <f aca="false">SUM(B13:F13)</f>
        <v>2388</v>
      </c>
      <c r="H13" s="21"/>
    </row>
    <row r="14" customFormat="false" ht="15" hidden="false" customHeight="false" outlineLevel="0" collapsed="false">
      <c r="A14" s="12" t="s">
        <v>165</v>
      </c>
      <c r="B14" s="22" t="n">
        <v>1231</v>
      </c>
      <c r="C14" s="22" t="n">
        <v>900</v>
      </c>
      <c r="D14" s="22" t="n">
        <v>809</v>
      </c>
      <c r="E14" s="22" t="n">
        <v>108</v>
      </c>
      <c r="F14" s="22" t="n">
        <v>4</v>
      </c>
      <c r="G14" s="14" t="n">
        <f aca="false">SUM(B14:F14)</f>
        <v>3052</v>
      </c>
      <c r="H14" s="21"/>
    </row>
    <row r="15" customFormat="false" ht="15" hidden="false" customHeight="false" outlineLevel="0" collapsed="false">
      <c r="A15" s="23" t="s">
        <v>166</v>
      </c>
      <c r="B15" s="19" t="n">
        <f aca="false">SUM(B9:B14)</f>
        <v>11476</v>
      </c>
      <c r="C15" s="19" t="n">
        <f aca="false">SUM(C9:C14)</f>
        <v>10160</v>
      </c>
      <c r="D15" s="19" t="n">
        <f aca="false">SUM(D9:D14)</f>
        <v>8232</v>
      </c>
      <c r="E15" s="19" t="n">
        <f aca="false">SUM(E9:E14)</f>
        <v>2842</v>
      </c>
      <c r="F15" s="19" t="n">
        <f aca="false">SUM(F9:F14)</f>
        <v>4</v>
      </c>
      <c r="G15" s="14" t="n">
        <f aca="false">SUM(B15:F15)</f>
        <v>32714</v>
      </c>
      <c r="H15" s="21"/>
    </row>
    <row r="16" customFormat="false" ht="15" hidden="false" customHeight="false" outlineLevel="0" collapsed="false">
      <c r="A16" s="12" t="s">
        <v>167</v>
      </c>
      <c r="B16" s="22" t="n">
        <v>0</v>
      </c>
      <c r="C16" s="22" t="n">
        <v>0</v>
      </c>
      <c r="D16" s="22" t="n">
        <v>0</v>
      </c>
      <c r="E16" s="22" t="n">
        <v>0</v>
      </c>
      <c r="F16" s="22" t="n">
        <v>4224</v>
      </c>
      <c r="G16" s="14" t="n">
        <f aca="false">SUM(B16:F16)</f>
        <v>4224</v>
      </c>
      <c r="H16" s="21"/>
    </row>
    <row r="17" customFormat="false" ht="15" hidden="false" customHeight="false" outlineLevel="0" collapsed="false">
      <c r="A17" s="23" t="s">
        <v>168</v>
      </c>
      <c r="B17" s="19" t="n">
        <f aca="false">B8-B15-B16</f>
        <v>6369</v>
      </c>
      <c r="C17" s="19" t="n">
        <f aca="false">C8-C15-C16</f>
        <v>2882</v>
      </c>
      <c r="D17" s="19" t="n">
        <f aca="false">D8-D15-D16</f>
        <v>3490</v>
      </c>
      <c r="E17" s="19" t="n">
        <f aca="false">E8-E15-E16</f>
        <v>302</v>
      </c>
      <c r="F17" s="19" t="n">
        <f aca="false">F8-F15-F16</f>
        <v>-3331</v>
      </c>
      <c r="G17" s="14" t="n">
        <f aca="false">SUM(B17:F17)</f>
        <v>9712</v>
      </c>
      <c r="H17" s="21"/>
    </row>
    <row r="18" customFormat="false" ht="15" hidden="false" customHeight="false" outlineLevel="0" collapsed="false">
      <c r="A18" s="12" t="s">
        <v>169</v>
      </c>
      <c r="B18" s="24" t="n">
        <f aca="false">IF(B8=0,0,B17/B8)</f>
        <v>0.356906696553657</v>
      </c>
      <c r="C18" s="24" t="n">
        <f aca="false">IF(C8=0,0,C17/C8)</f>
        <v>0.220978377549456</v>
      </c>
      <c r="D18" s="24" t="n">
        <f aca="false">IF(D8=0,0,D17/D8)</f>
        <v>0.297730762668487</v>
      </c>
      <c r="E18" s="24" t="n">
        <f aca="false">IF(E8=0,0,E17/E8)</f>
        <v>0.0960559796437659</v>
      </c>
      <c r="F18" s="24" t="n">
        <f aca="false">IF(F8=0,0,F17/F8)</f>
        <v>-3.71348940914158</v>
      </c>
      <c r="G18" s="25" t="n">
        <f aca="false">IF(G8=0,0,G17/G8)</f>
        <v>0.208188638799571</v>
      </c>
      <c r="H18" s="21"/>
    </row>
    <row r="20" customFormat="false" ht="15" hidden="false" customHeight="false" outlineLevel="0" collapsed="false">
      <c r="A20" s="10" t="s">
        <v>24</v>
      </c>
      <c r="B20" s="11"/>
      <c r="C20" s="11"/>
      <c r="D20" s="11"/>
      <c r="E20" s="11"/>
      <c r="F20" s="11"/>
      <c r="G20" s="11"/>
      <c r="H20" s="11"/>
    </row>
    <row r="21" customFormat="false" ht="15" hidden="false" customHeight="false" outlineLevel="0" collapsed="false">
      <c r="A21" s="12" t="s">
        <v>170</v>
      </c>
      <c r="B21" s="22" t="n">
        <v>17358</v>
      </c>
      <c r="C21" s="22" t="n">
        <v>13255</v>
      </c>
      <c r="D21" s="22" t="n">
        <v>11842</v>
      </c>
      <c r="E21" s="22" t="n">
        <v>3648</v>
      </c>
      <c r="H21" s="21"/>
    </row>
    <row r="22" customFormat="false" ht="15" hidden="false" customHeight="false" outlineLevel="0" collapsed="false">
      <c r="A22" s="12" t="s">
        <v>171</v>
      </c>
      <c r="B22" s="22" t="n">
        <v>11227</v>
      </c>
      <c r="C22" s="22" t="n">
        <v>9725</v>
      </c>
      <c r="D22" s="22" t="n">
        <v>8149</v>
      </c>
      <c r="E22" s="22" t="n">
        <v>2794</v>
      </c>
      <c r="H22" s="21"/>
    </row>
    <row r="23" customFormat="false" ht="15" hidden="false" customHeight="false" outlineLevel="0" collapsed="false">
      <c r="A23" s="12" t="s">
        <v>172</v>
      </c>
      <c r="B23" s="15" t="n">
        <f aca="false">B21-B22</f>
        <v>6131</v>
      </c>
      <c r="C23" s="15" t="n">
        <f aca="false">C21-C22</f>
        <v>3530</v>
      </c>
      <c r="D23" s="15" t="n">
        <f aca="false">D21-D22</f>
        <v>3693</v>
      </c>
      <c r="E23" s="15" t="n">
        <f aca="false">E21-E22</f>
        <v>854</v>
      </c>
      <c r="H23" s="21"/>
    </row>
    <row r="24" customFormat="false" ht="15" hidden="false" customHeight="false" outlineLevel="0" collapsed="false">
      <c r="A24" s="12" t="s">
        <v>173</v>
      </c>
      <c r="B24" s="15" t="n">
        <f aca="false">B8-B15</f>
        <v>6369</v>
      </c>
      <c r="C24" s="15" t="n">
        <f aca="false">C8-C15</f>
        <v>2882</v>
      </c>
      <c r="D24" s="15" t="n">
        <f aca="false">D8-D15</f>
        <v>3490</v>
      </c>
      <c r="E24" s="15" t="n">
        <f aca="false">E8-E15</f>
        <v>302</v>
      </c>
      <c r="H24" s="21"/>
    </row>
    <row r="25" customFormat="false" ht="15" hidden="false" customHeight="false" outlineLevel="0" collapsed="false">
      <c r="A25" s="12" t="s">
        <v>174</v>
      </c>
      <c r="B25" s="15" t="n">
        <f aca="false">B24-B23</f>
        <v>238</v>
      </c>
      <c r="C25" s="15" t="n">
        <f aca="false">C24-C23</f>
        <v>-648</v>
      </c>
      <c r="D25" s="15" t="n">
        <f aca="false">D24-D23</f>
        <v>-203</v>
      </c>
      <c r="E25" s="15" t="n">
        <f aca="false">E24-E23</f>
        <v>-552</v>
      </c>
      <c r="H25" s="21"/>
    </row>
    <row r="27" customFormat="false" ht="15" hidden="false" customHeight="false" outlineLevel="0" collapsed="false">
      <c r="A27" s="10" t="s">
        <v>175</v>
      </c>
      <c r="B27" s="11"/>
      <c r="C27" s="11"/>
      <c r="D27" s="11"/>
      <c r="E27" s="11"/>
      <c r="F27" s="11"/>
      <c r="G27" s="11"/>
      <c r="H27" s="11"/>
    </row>
    <row r="28" customFormat="false" ht="15" hidden="false" customHeight="false" outlineLevel="0" collapsed="false">
      <c r="A28" s="12" t="s">
        <v>176</v>
      </c>
      <c r="B28" s="22" t="n">
        <v>4830</v>
      </c>
      <c r="C28" s="22" t="n">
        <v>3446</v>
      </c>
      <c r="D28" s="22" t="n">
        <v>3107</v>
      </c>
      <c r="E28" s="22" t="n">
        <v>648</v>
      </c>
      <c r="H28" s="21"/>
    </row>
    <row r="29" customFormat="false" ht="15" hidden="false" customHeight="false" outlineLevel="0" collapsed="false">
      <c r="A29" s="12" t="s">
        <v>177</v>
      </c>
      <c r="B29" s="22" t="n">
        <v>3042</v>
      </c>
      <c r="C29" s="22" t="n">
        <v>2786</v>
      </c>
      <c r="D29" s="22" t="n">
        <v>2232</v>
      </c>
      <c r="E29" s="22" t="n">
        <v>710</v>
      </c>
      <c r="H29" s="21"/>
    </row>
    <row r="30" customFormat="false" ht="15" hidden="false" customHeight="false" outlineLevel="0" collapsed="false">
      <c r="A30" s="12" t="s">
        <v>178</v>
      </c>
      <c r="B30" s="24" t="n">
        <f aca="false">IF(B28=0,0,(B28-B29)/B28)</f>
        <v>0.370186335403727</v>
      </c>
      <c r="C30" s="24" t="n">
        <f aca="false">IF(C28=0,0,(C28-C29)/C28)</f>
        <v>0.191526407428903</v>
      </c>
      <c r="D30" s="24" t="n">
        <f aca="false">IF(D28=0,0,(D28-D29)/D28)</f>
        <v>0.28162214354683</v>
      </c>
      <c r="E30" s="24" t="n">
        <f aca="false">IF(E28=0,0,(E28-E29)/E28)</f>
        <v>-0.095679012345679</v>
      </c>
      <c r="H30" s="21"/>
    </row>
    <row r="31" customFormat="false" ht="15" hidden="false" customHeight="false" outlineLevel="0" collapsed="false">
      <c r="A31" s="12" t="s">
        <v>179</v>
      </c>
      <c r="B31" s="22" t="n">
        <v>4743</v>
      </c>
      <c r="C31" s="22" t="n">
        <v>3404</v>
      </c>
      <c r="D31" s="22" t="n">
        <v>3089</v>
      </c>
      <c r="E31" s="22" t="n">
        <v>725</v>
      </c>
      <c r="H31" s="21"/>
    </row>
    <row r="32" customFormat="false" ht="15" hidden="false" customHeight="false" outlineLevel="0" collapsed="false">
      <c r="A32" s="12" t="s">
        <v>180</v>
      </c>
      <c r="B32" s="22" t="n">
        <v>2975</v>
      </c>
      <c r="C32" s="22" t="n">
        <v>2651</v>
      </c>
      <c r="D32" s="22" t="n">
        <v>2088</v>
      </c>
      <c r="E32" s="22" t="n">
        <v>710</v>
      </c>
      <c r="H32" s="21"/>
    </row>
    <row r="33" customFormat="false" ht="15" hidden="false" customHeight="false" outlineLevel="0" collapsed="false">
      <c r="A33" s="12" t="s">
        <v>181</v>
      </c>
      <c r="B33" s="24" t="n">
        <f aca="false">IF(B31=0,0,(B31-B32)/B31)</f>
        <v>0.372759856630824</v>
      </c>
      <c r="C33" s="24" t="n">
        <f aca="false">IF(C31=0,0,(C31-C32)/C31)</f>
        <v>0.221210340775558</v>
      </c>
      <c r="D33" s="24" t="n">
        <f aca="false">IF(D31=0,0,(D31-D32)/D31)</f>
        <v>0.32405309161541</v>
      </c>
      <c r="E33" s="24" t="n">
        <f aca="false">IF(E31=0,0,(E31-E32)/E31)</f>
        <v>0.0206896551724138</v>
      </c>
      <c r="H33" s="21"/>
    </row>
    <row r="35" customFormat="false" ht="15" hidden="false" customHeight="false" outlineLevel="0" collapsed="false">
      <c r="A35" s="10" t="s">
        <v>182</v>
      </c>
      <c r="B35" s="11"/>
      <c r="C35" s="11"/>
      <c r="D35" s="11"/>
      <c r="E35" s="11"/>
      <c r="F35" s="11"/>
      <c r="G35" s="11"/>
      <c r="H35" s="11"/>
    </row>
    <row r="36" customFormat="false" ht="15" hidden="false" customHeight="false" outlineLevel="0" collapsed="false">
      <c r="A36" s="12" t="s">
        <v>183</v>
      </c>
      <c r="B36" s="22" t="n">
        <v>3250</v>
      </c>
      <c r="C36" s="22" t="n">
        <v>650</v>
      </c>
      <c r="D36" s="22" t="n">
        <v>2700</v>
      </c>
      <c r="E36" s="22" t="n">
        <v>300</v>
      </c>
      <c r="F36" s="22" t="n">
        <v>400</v>
      </c>
      <c r="G36" s="14" t="n">
        <f aca="false">SUM(B36:F36)</f>
        <v>7300</v>
      </c>
      <c r="H36" s="21" t="s">
        <v>184</v>
      </c>
    </row>
  </sheetData>
  <mergeCells count="4">
    <mergeCell ref="A1:H1"/>
    <mergeCell ref="A2:H2"/>
    <mergeCell ref="A3:H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7"/>
    <col collapsed="false" customWidth="true" hidden="false" outlineLevel="0" max="14" min="3" style="0" width="10"/>
  </cols>
  <sheetData>
    <row r="1" customFormat="false" ht="17.3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customFormat="false" ht="15" hidden="false" customHeight="false" outlineLevel="0" collapsed="false">
      <c r="A2" s="6" t="s">
        <v>185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15" hidden="false" customHeight="false" outlineLevel="0" collapsed="false">
      <c r="A3" s="7" t="s">
        <v>186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customFormat="false" ht="15" hidden="false" customHeight="false" outlineLevel="0" collapsed="false">
      <c r="A4" s="8" t="s">
        <v>18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6" customFormat="false" ht="30" hidden="false" customHeight="true" outlineLevel="0" collapsed="false">
      <c r="A6" s="9" t="s">
        <v>187</v>
      </c>
      <c r="B6" s="9" t="s">
        <v>188</v>
      </c>
      <c r="C6" s="9" t="s">
        <v>189</v>
      </c>
      <c r="D6" s="9" t="s">
        <v>190</v>
      </c>
      <c r="E6" s="9" t="s">
        <v>191</v>
      </c>
      <c r="F6" s="9" t="s">
        <v>192</v>
      </c>
      <c r="G6" s="9" t="s">
        <v>193</v>
      </c>
      <c r="H6" s="9" t="s">
        <v>194</v>
      </c>
      <c r="I6" s="9" t="s">
        <v>195</v>
      </c>
      <c r="J6" s="9" t="s">
        <v>196</v>
      </c>
      <c r="K6" s="9" t="s">
        <v>197</v>
      </c>
      <c r="L6" s="9" t="s">
        <v>198</v>
      </c>
      <c r="M6" s="9" t="s">
        <v>199</v>
      </c>
      <c r="N6" s="9" t="s">
        <v>200</v>
      </c>
    </row>
    <row r="7" customFormat="false" ht="15" hidden="false" customHeight="false" outlineLevel="0" collapsed="false">
      <c r="A7" s="10" t="s">
        <v>201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customFormat="false" ht="15" hidden="false" customHeight="false" outlineLevel="0" collapsed="false">
      <c r="A8" s="12" t="s">
        <v>202</v>
      </c>
      <c r="B8" s="21" t="s">
        <v>203</v>
      </c>
      <c r="C8" s="22" t="n">
        <v>3748</v>
      </c>
      <c r="D8" s="22" t="n">
        <v>3860</v>
      </c>
      <c r="E8" s="22" t="n">
        <v>4370</v>
      </c>
      <c r="F8" s="22" t="n">
        <v>4440</v>
      </c>
      <c r="G8" s="22" t="n">
        <v>2855</v>
      </c>
      <c r="H8" s="22" t="n">
        <v>2841</v>
      </c>
      <c r="I8" s="22" t="n">
        <v>3136</v>
      </c>
      <c r="J8" s="22" t="n">
        <v>3168</v>
      </c>
      <c r="K8" s="22" t="n">
        <v>2540</v>
      </c>
      <c r="L8" s="22" t="n">
        <v>2543</v>
      </c>
      <c r="M8" s="22" t="n">
        <v>2846</v>
      </c>
      <c r="N8" s="22" t="n">
        <v>2856</v>
      </c>
    </row>
    <row r="9" customFormat="false" ht="15" hidden="false" customHeight="false" outlineLevel="0" collapsed="false">
      <c r="A9" s="12" t="s">
        <v>204</v>
      </c>
      <c r="B9" s="21" t="s">
        <v>205</v>
      </c>
      <c r="C9" s="26" t="n">
        <v>26</v>
      </c>
      <c r="D9" s="26" t="n">
        <v>26</v>
      </c>
      <c r="E9" s="26" t="n">
        <v>27</v>
      </c>
      <c r="F9" s="26" t="n">
        <v>27</v>
      </c>
      <c r="G9" s="26" t="n">
        <v>22</v>
      </c>
      <c r="H9" s="26" t="n">
        <v>22</v>
      </c>
      <c r="I9" s="26" t="n">
        <v>22</v>
      </c>
      <c r="J9" s="26" t="n">
        <v>22</v>
      </c>
      <c r="K9" s="26" t="n">
        <v>18</v>
      </c>
      <c r="L9" s="26" t="n">
        <v>18</v>
      </c>
      <c r="M9" s="26" t="n">
        <v>18</v>
      </c>
      <c r="N9" s="26" t="n">
        <v>18</v>
      </c>
    </row>
    <row r="10" customFormat="false" ht="15" hidden="false" customHeight="false" outlineLevel="0" collapsed="false">
      <c r="A10" s="12" t="s">
        <v>206</v>
      </c>
      <c r="B10" s="21" t="s">
        <v>205</v>
      </c>
      <c r="C10" s="27" t="n">
        <f aca="false">C9*65</f>
        <v>1690</v>
      </c>
      <c r="D10" s="27" t="n">
        <f aca="false">D9*65</f>
        <v>1690</v>
      </c>
      <c r="E10" s="27" t="n">
        <f aca="false">E9*65</f>
        <v>1755</v>
      </c>
      <c r="F10" s="27" t="n">
        <f aca="false">F9*65</f>
        <v>1755</v>
      </c>
      <c r="G10" s="27" t="n">
        <f aca="false">G9*65</f>
        <v>1430</v>
      </c>
      <c r="H10" s="27" t="n">
        <f aca="false">H9*65</f>
        <v>1430</v>
      </c>
      <c r="I10" s="27" t="n">
        <f aca="false">I9*65</f>
        <v>1430</v>
      </c>
      <c r="J10" s="27" t="n">
        <f aca="false">J9*65</f>
        <v>1430</v>
      </c>
      <c r="K10" s="27" t="n">
        <f aca="false">K9*65</f>
        <v>1170</v>
      </c>
      <c r="L10" s="27" t="n">
        <f aca="false">L9*65</f>
        <v>1170</v>
      </c>
      <c r="M10" s="27" t="n">
        <f aca="false">M9*65</f>
        <v>1170</v>
      </c>
      <c r="N10" s="27" t="n">
        <f aca="false">N9*65</f>
        <v>1170</v>
      </c>
    </row>
    <row r="11" customFormat="false" ht="15" hidden="false" customHeight="false" outlineLevel="0" collapsed="false">
      <c r="A11" s="12" t="s">
        <v>207</v>
      </c>
      <c r="B11" s="21" t="s">
        <v>208</v>
      </c>
      <c r="C11" s="28" t="n">
        <f aca="false">IF(C10=0,0,C8*1000/C10)</f>
        <v>2217.75147928994</v>
      </c>
      <c r="D11" s="28" t="n">
        <f aca="false">IF(D10=0,0,D8*1000/D10)</f>
        <v>2284.02366863905</v>
      </c>
      <c r="E11" s="28" t="n">
        <f aca="false">IF(E10=0,0,E8*1000/E10)</f>
        <v>2490.02849002849</v>
      </c>
      <c r="F11" s="28" t="n">
        <f aca="false">IF(F10=0,0,F8*1000/F10)</f>
        <v>2529.91452991453</v>
      </c>
      <c r="G11" s="28" t="n">
        <f aca="false">IF(G10=0,0,G8*1000/G10)</f>
        <v>1996.5034965035</v>
      </c>
      <c r="H11" s="28" t="n">
        <f aca="false">IF(H10=0,0,H8*1000/H10)</f>
        <v>1986.71328671329</v>
      </c>
      <c r="I11" s="28" t="n">
        <f aca="false">IF(I10=0,0,I8*1000/I10)</f>
        <v>2193.00699300699</v>
      </c>
      <c r="J11" s="28" t="n">
        <f aca="false">IF(J10=0,0,J8*1000/J10)</f>
        <v>2215.38461538462</v>
      </c>
      <c r="K11" s="28" t="n">
        <f aca="false">IF(K10=0,0,K8*1000/K10)</f>
        <v>2170.94017094017</v>
      </c>
      <c r="L11" s="28" t="n">
        <f aca="false">IF(L10=0,0,L8*1000/L10)</f>
        <v>2173.50427350427</v>
      </c>
      <c r="M11" s="28" t="n">
        <f aca="false">IF(M10=0,0,M8*1000/M10)</f>
        <v>2432.47863247863</v>
      </c>
      <c r="N11" s="28" t="n">
        <f aca="false">IF(N10=0,0,N8*1000/N10)</f>
        <v>2441.02564102564</v>
      </c>
    </row>
    <row r="12" customFormat="false" ht="15" hidden="false" customHeight="false" outlineLevel="0" collapsed="false">
      <c r="A12" s="12" t="s">
        <v>209</v>
      </c>
      <c r="B12" s="21" t="s">
        <v>210</v>
      </c>
      <c r="C12" s="26" t="n">
        <v>18066</v>
      </c>
      <c r="D12" s="26" t="n">
        <v>18036</v>
      </c>
      <c r="E12" s="26" t="n">
        <v>19127</v>
      </c>
      <c r="F12" s="26" t="n">
        <v>19539</v>
      </c>
      <c r="G12" s="26" t="n">
        <v>14455</v>
      </c>
      <c r="H12" s="26" t="n">
        <v>14259</v>
      </c>
      <c r="I12" s="26" t="n">
        <v>14721</v>
      </c>
      <c r="J12" s="26" t="n">
        <v>14866</v>
      </c>
      <c r="K12" s="26" t="n">
        <v>12685</v>
      </c>
      <c r="L12" s="26" t="n">
        <v>12513</v>
      </c>
      <c r="M12" s="26" t="n">
        <v>13115</v>
      </c>
      <c r="N12" s="26" t="n">
        <v>13244</v>
      </c>
    </row>
    <row r="13" customFormat="false" ht="15" hidden="false" customHeight="false" outlineLevel="0" collapsed="false">
      <c r="A13" s="10" t="s">
        <v>211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customFormat="false" ht="15" hidden="false" customHeight="false" outlineLevel="0" collapsed="false">
      <c r="A14" s="12" t="s">
        <v>212</v>
      </c>
      <c r="B14" s="21" t="s">
        <v>203</v>
      </c>
      <c r="C14" s="22" t="n">
        <v>849</v>
      </c>
      <c r="D14" s="22" t="n">
        <v>848</v>
      </c>
      <c r="E14" s="22" t="n">
        <v>899</v>
      </c>
      <c r="F14" s="22" t="n">
        <v>918</v>
      </c>
      <c r="G14" s="22" t="n">
        <v>708</v>
      </c>
      <c r="H14" s="22" t="n">
        <v>699</v>
      </c>
      <c r="I14" s="22" t="n">
        <v>721</v>
      </c>
      <c r="J14" s="22" t="n">
        <v>728</v>
      </c>
      <c r="K14" s="22" t="n">
        <v>660</v>
      </c>
      <c r="L14" s="22" t="n">
        <v>651</v>
      </c>
      <c r="M14" s="22" t="n">
        <v>682</v>
      </c>
      <c r="N14" s="22" t="n">
        <v>808</v>
      </c>
    </row>
    <row r="15" customFormat="false" ht="15" hidden="false" customHeight="false" outlineLevel="0" collapsed="false">
      <c r="A15" s="12" t="s">
        <v>213</v>
      </c>
      <c r="B15" s="21" t="s">
        <v>208</v>
      </c>
      <c r="C15" s="29" t="n">
        <f aca="false">IF(C12=0,0,C14*1000/C12)</f>
        <v>46.9943540352043</v>
      </c>
      <c r="D15" s="29" t="n">
        <f aca="false">IF(D12=0,0,D14*1000/D12)</f>
        <v>47.0170769571967</v>
      </c>
      <c r="E15" s="29" t="n">
        <f aca="false">IF(E12=0,0,E14*1000/E12)</f>
        <v>47.001620745543</v>
      </c>
      <c r="F15" s="29" t="n">
        <f aca="false">IF(F12=0,0,F14*1000/F12)</f>
        <v>46.9829571625979</v>
      </c>
      <c r="G15" s="29" t="n">
        <f aca="false">IF(G12=0,0,G14*1000/G12)</f>
        <v>48.9795918367347</v>
      </c>
      <c r="H15" s="29" t="n">
        <f aca="false">IF(H12=0,0,H14*1000/H12)</f>
        <v>49.0216705238797</v>
      </c>
      <c r="I15" s="29" t="n">
        <f aca="false">IF(I12=0,0,I14*1000/I12)</f>
        <v>48.9776509747979</v>
      </c>
      <c r="J15" s="29" t="n">
        <f aca="false">IF(J12=0,0,J14*1000/J12)</f>
        <v>48.9708058657339</v>
      </c>
      <c r="K15" s="29" t="n">
        <f aca="false">IF(K12=0,0,K14*1000/K12)</f>
        <v>52.0299566417028</v>
      </c>
      <c r="L15" s="29" t="n">
        <f aca="false">IF(L12=0,0,L14*1000/L12)</f>
        <v>52.0258930712059</v>
      </c>
      <c r="M15" s="29" t="n">
        <f aca="false">IF(M12=0,0,M14*1000/M12)</f>
        <v>52.0015249714068</v>
      </c>
      <c r="N15" s="29" t="n">
        <f aca="false">IF(N12=0,0,N14*1000/N12)</f>
        <v>61.0087586831773</v>
      </c>
    </row>
    <row r="16" customFormat="false" ht="15" hidden="false" customHeight="false" outlineLevel="0" collapsed="false">
      <c r="A16" s="12" t="s">
        <v>214</v>
      </c>
      <c r="B16" s="21" t="s">
        <v>203</v>
      </c>
      <c r="C16" s="22" t="n">
        <v>360</v>
      </c>
      <c r="D16" s="22" t="n">
        <v>363</v>
      </c>
      <c r="E16" s="22" t="n">
        <v>378</v>
      </c>
      <c r="F16" s="22" t="n">
        <v>403</v>
      </c>
      <c r="G16" s="22" t="n">
        <v>309</v>
      </c>
      <c r="H16" s="22" t="n">
        <v>309</v>
      </c>
      <c r="I16" s="22" t="n">
        <v>312</v>
      </c>
      <c r="J16" s="22" t="n">
        <v>330</v>
      </c>
      <c r="K16" s="22" t="n">
        <v>261</v>
      </c>
      <c r="L16" s="22" t="n">
        <v>260</v>
      </c>
      <c r="M16" s="22" t="n">
        <v>267</v>
      </c>
      <c r="N16" s="22" t="n">
        <v>282</v>
      </c>
    </row>
    <row r="17" customFormat="false" ht="15" hidden="false" customHeight="false" outlineLevel="0" collapsed="false">
      <c r="A17" s="12" t="s">
        <v>215</v>
      </c>
      <c r="B17" s="21" t="s">
        <v>203</v>
      </c>
      <c r="C17" s="22" t="n">
        <v>317</v>
      </c>
      <c r="D17" s="22" t="n">
        <v>346</v>
      </c>
      <c r="E17" s="22" t="n">
        <v>373</v>
      </c>
      <c r="F17" s="22" t="n">
        <v>390</v>
      </c>
      <c r="G17" s="22" t="n">
        <v>242</v>
      </c>
      <c r="H17" s="22" t="n">
        <v>255</v>
      </c>
      <c r="I17" s="22" t="n">
        <v>268</v>
      </c>
      <c r="J17" s="22" t="n">
        <v>278</v>
      </c>
      <c r="K17" s="22" t="n">
        <v>215</v>
      </c>
      <c r="L17" s="22" t="n">
        <v>228</v>
      </c>
      <c r="M17" s="22" t="n">
        <v>243</v>
      </c>
      <c r="N17" s="22" t="n">
        <v>251</v>
      </c>
    </row>
    <row r="18" customFormat="false" ht="15" hidden="false" customHeight="false" outlineLevel="0" collapsed="false">
      <c r="A18" s="12" t="s">
        <v>216</v>
      </c>
      <c r="B18" s="21" t="s">
        <v>217</v>
      </c>
      <c r="C18" s="24" t="n">
        <f aca="false">IF(C16=0,0,C17/C16)</f>
        <v>0.880555555555556</v>
      </c>
      <c r="D18" s="24" t="n">
        <f aca="false">IF(D16=0,0,D17/D16)</f>
        <v>0.953168044077135</v>
      </c>
      <c r="E18" s="24" t="n">
        <f aca="false">IF(E16=0,0,E17/E16)</f>
        <v>0.986772486772487</v>
      </c>
      <c r="F18" s="24" t="n">
        <f aca="false">IF(F16=0,0,F17/F16)</f>
        <v>0.967741935483871</v>
      </c>
      <c r="G18" s="24" t="n">
        <f aca="false">IF(G16=0,0,G17/G16)</f>
        <v>0.783171521035599</v>
      </c>
      <c r="H18" s="24" t="n">
        <f aca="false">IF(H16=0,0,H17/H16)</f>
        <v>0.825242718446602</v>
      </c>
      <c r="I18" s="24" t="n">
        <f aca="false">IF(I16=0,0,I17/I16)</f>
        <v>0.858974358974359</v>
      </c>
      <c r="J18" s="24" t="n">
        <f aca="false">IF(J16=0,0,J17/J16)</f>
        <v>0.842424242424242</v>
      </c>
      <c r="K18" s="24" t="n">
        <f aca="false">IF(K16=0,0,K17/K16)</f>
        <v>0.823754789272031</v>
      </c>
      <c r="L18" s="24" t="n">
        <f aca="false">IF(L16=0,0,L17/L16)</f>
        <v>0.876923076923077</v>
      </c>
      <c r="M18" s="24" t="n">
        <f aca="false">IF(M16=0,0,M17/M16)</f>
        <v>0.910112359550562</v>
      </c>
      <c r="N18" s="24" t="n">
        <f aca="false">IF(N16=0,0,N17/N16)</f>
        <v>0.890070921985816</v>
      </c>
    </row>
    <row r="19" customFormat="false" ht="15" hidden="false" customHeight="false" outlineLevel="0" collapsed="false">
      <c r="A19" s="10" t="s">
        <v>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customFormat="false" ht="15" hidden="false" customHeight="false" outlineLevel="0" collapsed="false">
      <c r="A20" s="12" t="s">
        <v>218</v>
      </c>
      <c r="B20" s="21" t="s">
        <v>205</v>
      </c>
      <c r="C20" s="26" t="n">
        <v>58</v>
      </c>
      <c r="D20" s="26" t="n">
        <v>58</v>
      </c>
      <c r="E20" s="26" t="n">
        <v>58</v>
      </c>
      <c r="F20" s="26" t="n">
        <v>58</v>
      </c>
      <c r="G20" s="26" t="n">
        <v>51</v>
      </c>
      <c r="H20" s="26" t="n">
        <v>48</v>
      </c>
      <c r="I20" s="26" t="n">
        <v>42</v>
      </c>
      <c r="J20" s="26" t="n">
        <v>42</v>
      </c>
      <c r="K20" s="26" t="n">
        <v>40</v>
      </c>
      <c r="L20" s="26" t="n">
        <v>40</v>
      </c>
      <c r="M20" s="26" t="n">
        <v>40</v>
      </c>
      <c r="N20" s="26" t="n">
        <v>40</v>
      </c>
    </row>
    <row r="21" customFormat="false" ht="15" hidden="false" customHeight="false" outlineLevel="0" collapsed="false">
      <c r="A21" s="12" t="s">
        <v>219</v>
      </c>
      <c r="B21" s="21" t="s">
        <v>217</v>
      </c>
      <c r="C21" s="30" t="n">
        <v>0.051</v>
      </c>
      <c r="D21" s="30" t="n">
        <v>0.049</v>
      </c>
      <c r="E21" s="30" t="n">
        <v>0.048</v>
      </c>
      <c r="F21" s="30" t="n">
        <v>0.047</v>
      </c>
      <c r="G21" s="30" t="n">
        <v>0.082</v>
      </c>
      <c r="H21" s="30" t="n">
        <v>0.096</v>
      </c>
      <c r="I21" s="30" t="n">
        <v>0.118</v>
      </c>
      <c r="J21" s="30" t="n">
        <v>0.141</v>
      </c>
      <c r="K21" s="30" t="n">
        <v>0.055</v>
      </c>
      <c r="L21" s="30" t="n">
        <v>0.054</v>
      </c>
      <c r="M21" s="30" t="n">
        <v>0.057</v>
      </c>
      <c r="N21" s="30" t="n">
        <v>0.056</v>
      </c>
    </row>
    <row r="22" customFormat="false" ht="15" hidden="false" customHeight="false" outlineLevel="0" collapsed="false">
      <c r="A22" s="12" t="s">
        <v>220</v>
      </c>
      <c r="B22" s="21" t="s">
        <v>208</v>
      </c>
      <c r="C22" s="31" t="n">
        <v>1850</v>
      </c>
      <c r="D22" s="31" t="n">
        <v>1850</v>
      </c>
      <c r="E22" s="31" t="n">
        <v>1850</v>
      </c>
      <c r="F22" s="31" t="n">
        <v>1850</v>
      </c>
      <c r="G22" s="31" t="n">
        <v>2390</v>
      </c>
      <c r="H22" s="31" t="n">
        <v>2660</v>
      </c>
      <c r="I22" s="31" t="n">
        <v>2930</v>
      </c>
      <c r="J22" s="31" t="n">
        <v>3200</v>
      </c>
      <c r="K22" s="31" t="n">
        <v>1900</v>
      </c>
      <c r="L22" s="31" t="n">
        <v>1900</v>
      </c>
      <c r="M22" s="31" t="n">
        <v>1900</v>
      </c>
      <c r="N22" s="31" t="n">
        <v>1900</v>
      </c>
    </row>
    <row r="23" customFormat="false" ht="15" hidden="false" customHeight="false" outlineLevel="0" collapsed="false">
      <c r="A23" s="12" t="s">
        <v>221</v>
      </c>
      <c r="B23" s="21" t="s">
        <v>203</v>
      </c>
      <c r="C23" s="22" t="n">
        <v>0</v>
      </c>
      <c r="D23" s="22" t="n">
        <v>0</v>
      </c>
      <c r="E23" s="22" t="n">
        <v>0</v>
      </c>
      <c r="F23" s="22" t="n">
        <v>0</v>
      </c>
      <c r="G23" s="22" t="n">
        <v>0</v>
      </c>
      <c r="H23" s="22" t="n">
        <v>25</v>
      </c>
      <c r="I23" s="22" t="n">
        <v>160</v>
      </c>
      <c r="J23" s="22" t="n">
        <v>225</v>
      </c>
      <c r="K23" s="22" t="n">
        <v>0</v>
      </c>
      <c r="L23" s="22" t="n">
        <v>0</v>
      </c>
      <c r="M23" s="22" t="n">
        <v>0</v>
      </c>
      <c r="N23" s="22" t="n">
        <v>0</v>
      </c>
    </row>
    <row r="24" customFormat="false" ht="15" hidden="false" customHeight="false" outlineLevel="0" collapsed="false">
      <c r="A24" s="12" t="s">
        <v>222</v>
      </c>
      <c r="B24" s="21" t="s">
        <v>223</v>
      </c>
      <c r="C24" s="32" t="n">
        <v>6.1</v>
      </c>
      <c r="D24" s="32" t="n">
        <v>5.9</v>
      </c>
      <c r="E24" s="32" t="n">
        <v>5.8</v>
      </c>
      <c r="F24" s="32" t="n">
        <v>5.6</v>
      </c>
      <c r="G24" s="32" t="n">
        <v>8.7</v>
      </c>
      <c r="H24" s="32" t="n">
        <v>9</v>
      </c>
      <c r="I24" s="32" t="n">
        <v>9.2</v>
      </c>
      <c r="J24" s="32" t="n">
        <v>9.4</v>
      </c>
      <c r="K24" s="32" t="n">
        <v>6.4</v>
      </c>
      <c r="L24" s="32" t="n">
        <v>6.3</v>
      </c>
      <c r="M24" s="32" t="n">
        <v>6.1</v>
      </c>
      <c r="N24" s="32" t="n">
        <v>6</v>
      </c>
    </row>
    <row r="25" customFormat="false" ht="15" hidden="false" customHeight="false" outlineLevel="0" collapsed="false">
      <c r="A25" s="10" t="s">
        <v>11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customFormat="false" ht="15" hidden="false" customHeight="false" outlineLevel="0" collapsed="false">
      <c r="A26" s="12" t="s">
        <v>224</v>
      </c>
      <c r="B26" s="21" t="s">
        <v>205</v>
      </c>
      <c r="C26" s="26" t="n">
        <v>2152</v>
      </c>
      <c r="D26" s="26" t="n">
        <v>2175</v>
      </c>
      <c r="E26" s="26" t="n">
        <v>2198</v>
      </c>
      <c r="F26" s="26" t="n">
        <v>2224</v>
      </c>
      <c r="G26" s="26" t="n">
        <v>1714</v>
      </c>
      <c r="H26" s="26" t="n">
        <v>1705</v>
      </c>
      <c r="I26" s="26" t="n">
        <v>1693</v>
      </c>
      <c r="J26" s="26" t="n">
        <v>1679</v>
      </c>
      <c r="K26" s="26" t="n">
        <v>1494</v>
      </c>
      <c r="L26" s="26" t="n">
        <v>1499</v>
      </c>
      <c r="M26" s="26" t="n">
        <v>1502</v>
      </c>
      <c r="N26" s="26" t="n">
        <v>1506</v>
      </c>
    </row>
    <row r="27" customFormat="false" ht="15" hidden="false" customHeight="false" outlineLevel="0" collapsed="false">
      <c r="A27" s="12" t="s">
        <v>225</v>
      </c>
      <c r="B27" s="21" t="s">
        <v>217</v>
      </c>
      <c r="C27" s="30" t="n">
        <v>0.062</v>
      </c>
      <c r="D27" s="30" t="n">
        <v>0.06</v>
      </c>
      <c r="E27" s="30" t="n">
        <v>0.058</v>
      </c>
      <c r="F27" s="30" t="n">
        <v>0.057</v>
      </c>
      <c r="G27" s="30" t="n">
        <v>0.071</v>
      </c>
      <c r="H27" s="30" t="n">
        <v>0.079</v>
      </c>
      <c r="I27" s="30" t="n">
        <v>0.088</v>
      </c>
      <c r="J27" s="30" t="n">
        <v>0.097</v>
      </c>
      <c r="K27" s="30" t="n">
        <v>0.065</v>
      </c>
      <c r="L27" s="30" t="n">
        <v>0.066</v>
      </c>
      <c r="M27" s="30" t="n">
        <v>0.064</v>
      </c>
      <c r="N27" s="30" t="n">
        <v>0.066</v>
      </c>
    </row>
    <row r="28" customFormat="false" ht="15" hidden="false" customHeight="false" outlineLevel="0" collapsed="false">
      <c r="A28" s="12" t="s">
        <v>226</v>
      </c>
      <c r="B28" s="21" t="s">
        <v>217</v>
      </c>
      <c r="C28" s="30" t="n">
        <v>0.048</v>
      </c>
      <c r="D28" s="30" t="n">
        <v>0.052</v>
      </c>
      <c r="E28" s="30" t="n">
        <v>0.05</v>
      </c>
      <c r="F28" s="30" t="n">
        <v>0.049</v>
      </c>
      <c r="G28" s="30" t="n">
        <v>0.031</v>
      </c>
      <c r="H28" s="30" t="n">
        <v>0.029</v>
      </c>
      <c r="I28" s="30" t="n">
        <v>0.026</v>
      </c>
      <c r="J28" s="30" t="n">
        <v>0.024</v>
      </c>
      <c r="K28" s="30" t="n">
        <v>0.03</v>
      </c>
      <c r="L28" s="30" t="n">
        <v>0.029</v>
      </c>
      <c r="M28" s="30" t="n">
        <v>0.03</v>
      </c>
      <c r="N28" s="30" t="n">
        <v>0.028</v>
      </c>
    </row>
    <row r="30" customFormat="false" ht="15" hidden="false" customHeight="false" outlineLevel="0" collapsed="false">
      <c r="A30" s="10" t="s">
        <v>227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customFormat="false" ht="15" hidden="false" customHeight="false" outlineLevel="0" collapsed="false">
      <c r="A31" s="12" t="s">
        <v>228</v>
      </c>
      <c r="B31" s="21" t="s">
        <v>210</v>
      </c>
      <c r="C31" s="26" t="n">
        <v>7200</v>
      </c>
      <c r="D31" s="26" t="n">
        <v>7200</v>
      </c>
      <c r="E31" s="26" t="n">
        <v>7200</v>
      </c>
      <c r="F31" s="26" t="n">
        <v>7200</v>
      </c>
    </row>
    <row r="32" customFormat="false" ht="15" hidden="false" customHeight="false" outlineLevel="0" collapsed="false">
      <c r="A32" s="12" t="s">
        <v>229</v>
      </c>
      <c r="B32" s="21" t="s">
        <v>230</v>
      </c>
      <c r="C32" s="33" t="n">
        <v>114.33</v>
      </c>
      <c r="D32" s="33" t="n">
        <v>98.33</v>
      </c>
      <c r="E32" s="33" t="n">
        <v>84</v>
      </c>
      <c r="F32" s="33" t="n">
        <v>73.33</v>
      </c>
    </row>
    <row r="33" customFormat="false" ht="15" hidden="false" customHeight="false" outlineLevel="0" collapsed="false">
      <c r="A33" s="12" t="s">
        <v>231</v>
      </c>
      <c r="B33" s="21" t="s">
        <v>217</v>
      </c>
      <c r="C33" s="30" t="n">
        <v>0.142</v>
      </c>
      <c r="D33" s="30" t="n">
        <v>0.145</v>
      </c>
      <c r="E33" s="30" t="n">
        <v>0.151</v>
      </c>
      <c r="F33" s="30" t="n">
        <v>0.149</v>
      </c>
    </row>
    <row r="34" customFormat="false" ht="15" hidden="false" customHeight="false" outlineLevel="0" collapsed="false">
      <c r="A34" s="21" t="s">
        <v>232</v>
      </c>
    </row>
    <row r="36" customFormat="false" ht="15" hidden="false" customHeight="false" outlineLevel="0" collapsed="false">
      <c r="A36" s="23" t="s">
        <v>233</v>
      </c>
    </row>
    <row r="37" customFormat="false" ht="15" hidden="false" customHeight="false" outlineLevel="0" collapsed="false">
      <c r="A37" s="12" t="s">
        <v>234</v>
      </c>
      <c r="C37" s="34" t="n">
        <f aca="false">F20+J20+N20+12</f>
        <v>152</v>
      </c>
      <c r="D37" s="21" t="s">
        <v>235</v>
      </c>
    </row>
    <row r="38" customFormat="false" ht="15" hidden="false" customHeight="false" outlineLevel="0" collapsed="false">
      <c r="A38" s="12" t="s">
        <v>236</v>
      </c>
      <c r="C38" s="35" t="n">
        <f aca="false">IF(C37=0,0,'P&amp;L Summary'!F13/C37)</f>
        <v>306.907894736842</v>
      </c>
      <c r="D38" s="21" t="s">
        <v>237</v>
      </c>
    </row>
  </sheetData>
  <mergeCells count="4">
    <mergeCell ref="A1:N1"/>
    <mergeCell ref="A2:N2"/>
    <mergeCell ref="A3:N3"/>
    <mergeCell ref="A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3"/>
  </cols>
  <sheetData>
    <row r="1" customFormat="false" ht="17.3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238</v>
      </c>
      <c r="B2" s="6"/>
      <c r="C2" s="6"/>
      <c r="D2" s="6"/>
      <c r="E2" s="6"/>
      <c r="F2" s="6"/>
      <c r="G2" s="6"/>
      <c r="H2" s="6"/>
      <c r="I2" s="6"/>
    </row>
    <row r="3" customFormat="false" ht="15" hidden="false" customHeight="false" outlineLevel="0" collapsed="false">
      <c r="A3" s="7" t="s">
        <v>239</v>
      </c>
      <c r="B3" s="7"/>
      <c r="C3" s="7"/>
      <c r="D3" s="7"/>
      <c r="E3" s="7"/>
      <c r="F3" s="7"/>
      <c r="G3" s="7"/>
      <c r="H3" s="7"/>
      <c r="I3" s="7"/>
    </row>
    <row r="4" customFormat="false" ht="15" hidden="false" customHeight="false" outlineLevel="0" collapsed="false">
      <c r="A4" s="8" t="s">
        <v>18</v>
      </c>
      <c r="B4" s="8"/>
      <c r="C4" s="8"/>
      <c r="D4" s="8"/>
      <c r="E4" s="8"/>
      <c r="F4" s="8"/>
      <c r="G4" s="8"/>
      <c r="H4" s="8"/>
      <c r="I4" s="8"/>
    </row>
    <row r="6" customFormat="false" ht="23.85" hidden="false" customHeight="false" outlineLevel="0" collapsed="false">
      <c r="A6" s="9" t="s">
        <v>240</v>
      </c>
      <c r="B6" s="9" t="s">
        <v>241</v>
      </c>
      <c r="C6" s="9" t="s">
        <v>242</v>
      </c>
      <c r="D6" s="9" t="s">
        <v>243</v>
      </c>
      <c r="E6" s="9" t="s">
        <v>244</v>
      </c>
      <c r="F6" s="9" t="s">
        <v>245</v>
      </c>
      <c r="G6" s="9" t="s">
        <v>246</v>
      </c>
      <c r="H6" s="9" t="s">
        <v>247</v>
      </c>
      <c r="I6" s="9" t="s">
        <v>248</v>
      </c>
    </row>
    <row r="7" customFormat="false" ht="15" hidden="false" customHeight="false" outlineLevel="0" collapsed="false">
      <c r="A7" s="27" t="s">
        <v>153</v>
      </c>
      <c r="B7" s="26" t="n">
        <v>32</v>
      </c>
      <c r="C7" s="26" t="n">
        <v>16</v>
      </c>
      <c r="D7" s="26" t="n">
        <v>10</v>
      </c>
      <c r="E7" s="27" t="n">
        <f aca="false">SUM(B7:D7)</f>
        <v>58</v>
      </c>
      <c r="F7" s="27" t="n">
        <f aca="false">E7-G7</f>
        <v>58</v>
      </c>
      <c r="G7" s="26" t="n">
        <v>0</v>
      </c>
      <c r="H7" s="26" t="n">
        <v>21</v>
      </c>
      <c r="I7" s="27" t="n">
        <f aca="false">E7-H7</f>
        <v>37</v>
      </c>
    </row>
    <row r="8" customFormat="false" ht="15" hidden="false" customHeight="false" outlineLevel="0" collapsed="false">
      <c r="A8" s="27" t="s">
        <v>154</v>
      </c>
      <c r="B8" s="26" t="n">
        <v>30</v>
      </c>
      <c r="C8" s="26" t="n">
        <v>14</v>
      </c>
      <c r="D8" s="26" t="n">
        <v>10</v>
      </c>
      <c r="E8" s="27" t="n">
        <f aca="false">SUM(B8:D8)</f>
        <v>54</v>
      </c>
      <c r="F8" s="27" t="n">
        <f aca="false">E8-G8</f>
        <v>42</v>
      </c>
      <c r="G8" s="26" t="n">
        <v>12</v>
      </c>
      <c r="H8" s="26" t="n">
        <v>9</v>
      </c>
      <c r="I8" s="27" t="n">
        <f aca="false">E8-H8</f>
        <v>45</v>
      </c>
    </row>
    <row r="9" customFormat="false" ht="15" hidden="false" customHeight="false" outlineLevel="0" collapsed="false">
      <c r="A9" s="27" t="s">
        <v>155</v>
      </c>
      <c r="B9" s="26" t="n">
        <v>22</v>
      </c>
      <c r="C9" s="26" t="n">
        <v>11</v>
      </c>
      <c r="D9" s="26" t="n">
        <v>7</v>
      </c>
      <c r="E9" s="27" t="n">
        <f aca="false">SUM(B9:D9)</f>
        <v>40</v>
      </c>
      <c r="F9" s="27" t="n">
        <f aca="false">E9-G9</f>
        <v>40</v>
      </c>
      <c r="G9" s="26" t="n">
        <v>0</v>
      </c>
      <c r="H9" s="26" t="n">
        <v>16</v>
      </c>
      <c r="I9" s="27" t="n">
        <f aca="false">E9-H9</f>
        <v>24</v>
      </c>
    </row>
    <row r="10" customFormat="false" ht="15" hidden="false" customHeight="false" outlineLevel="0" collapsed="false">
      <c r="A10" s="27" t="s">
        <v>249</v>
      </c>
      <c r="B10" s="26" t="n">
        <v>0</v>
      </c>
      <c r="C10" s="26" t="n">
        <v>0</v>
      </c>
      <c r="D10" s="26" t="n">
        <v>12</v>
      </c>
      <c r="E10" s="27" t="n">
        <f aca="false">SUM(B10:D10)</f>
        <v>12</v>
      </c>
      <c r="F10" s="27" t="n">
        <f aca="false">E10-G10</f>
        <v>12</v>
      </c>
      <c r="G10" s="26" t="n">
        <v>0</v>
      </c>
      <c r="H10" s="26" t="n">
        <v>2</v>
      </c>
      <c r="I10" s="27" t="n">
        <f aca="false">E10-H10</f>
        <v>10</v>
      </c>
    </row>
    <row r="11" customFormat="false" ht="15" hidden="false" customHeight="false" outlineLevel="0" collapsed="false">
      <c r="A11" s="23" t="s">
        <v>250</v>
      </c>
      <c r="B11" s="36" t="n">
        <f aca="false">SUM(B7:B10)</f>
        <v>84</v>
      </c>
      <c r="C11" s="36" t="n">
        <f aca="false">SUM(C7:C10)</f>
        <v>41</v>
      </c>
      <c r="D11" s="36" t="n">
        <f aca="false">SUM(D7:D10)</f>
        <v>39</v>
      </c>
      <c r="E11" s="36" t="n">
        <f aca="false">SUM(E7:E10)</f>
        <v>164</v>
      </c>
      <c r="F11" s="36" t="n">
        <f aca="false">SUM(F7:F10)</f>
        <v>152</v>
      </c>
      <c r="G11" s="36" t="n">
        <f aca="false">SUM(G7:G10)</f>
        <v>12</v>
      </c>
      <c r="H11" s="36" t="n">
        <f aca="false">SUM(H7:H10)</f>
        <v>48</v>
      </c>
      <c r="I11" s="36" t="n">
        <f aca="false">SUM(I7:I10)</f>
        <v>116</v>
      </c>
    </row>
    <row r="13" customFormat="false" ht="15" hidden="false" customHeight="false" outlineLevel="0" collapsed="false">
      <c r="A13" s="23" t="s">
        <v>251</v>
      </c>
    </row>
    <row r="14" customFormat="false" ht="15" hidden="false" customHeight="false" outlineLevel="0" collapsed="false">
      <c r="A14" s="12" t="s">
        <v>252</v>
      </c>
    </row>
    <row r="15" customFormat="false" ht="15" hidden="false" customHeight="false" outlineLevel="0" collapsed="false">
      <c r="A15" s="12" t="s">
        <v>253</v>
      </c>
    </row>
    <row r="16" customFormat="false" ht="15" hidden="false" customHeight="false" outlineLevel="0" collapsed="false">
      <c r="A16" s="12" t="s">
        <v>254</v>
      </c>
    </row>
    <row r="18" customFormat="false" ht="15" hidden="false" customHeight="false" outlineLevel="0" collapsed="false">
      <c r="A18" s="23" t="s">
        <v>255</v>
      </c>
    </row>
    <row r="19" customFormat="false" ht="23.85" hidden="false" customHeight="false" outlineLevel="0" collapsed="false">
      <c r="A19" s="9" t="s">
        <v>256</v>
      </c>
      <c r="B19" s="9" t="s">
        <v>257</v>
      </c>
      <c r="C19" s="9" t="s">
        <v>258</v>
      </c>
      <c r="D19" s="9" t="s">
        <v>259</v>
      </c>
      <c r="E19" s="9" t="s">
        <v>260</v>
      </c>
      <c r="F19" s="9" t="s">
        <v>261</v>
      </c>
      <c r="G19" s="9" t="s">
        <v>262</v>
      </c>
      <c r="H19" s="9"/>
      <c r="I19" s="9"/>
    </row>
    <row r="20" customFormat="false" ht="15" hidden="false" customHeight="false" outlineLevel="0" collapsed="false">
      <c r="A20" s="26" t="s">
        <v>153</v>
      </c>
      <c r="B20" s="26" t="n">
        <v>22</v>
      </c>
      <c r="C20" s="26" t="n">
        <v>26</v>
      </c>
      <c r="D20" s="26" t="n">
        <v>8</v>
      </c>
      <c r="E20" s="26" t="n">
        <v>2</v>
      </c>
      <c r="F20" s="27" t="n">
        <f aca="false">SUM(B20:E20)</f>
        <v>58</v>
      </c>
      <c r="G20" s="32" t="n">
        <v>5.6</v>
      </c>
    </row>
    <row r="21" customFormat="false" ht="15" hidden="false" customHeight="false" outlineLevel="0" collapsed="false">
      <c r="A21" s="26" t="s">
        <v>154</v>
      </c>
      <c r="B21" s="26" t="n">
        <v>6</v>
      </c>
      <c r="C21" s="26" t="n">
        <v>17</v>
      </c>
      <c r="D21" s="26" t="n">
        <v>21</v>
      </c>
      <c r="E21" s="26" t="n">
        <v>10</v>
      </c>
      <c r="F21" s="27" t="n">
        <f aca="false">SUM(B21:E21)</f>
        <v>54</v>
      </c>
      <c r="G21" s="32" t="n">
        <v>9.4</v>
      </c>
    </row>
    <row r="22" customFormat="false" ht="15" hidden="false" customHeight="false" outlineLevel="0" collapsed="false">
      <c r="A22" s="26" t="s">
        <v>155</v>
      </c>
      <c r="B22" s="26" t="n">
        <v>14</v>
      </c>
      <c r="C22" s="26" t="n">
        <v>17</v>
      </c>
      <c r="D22" s="26" t="n">
        <v>8</v>
      </c>
      <c r="E22" s="26" t="n">
        <v>1</v>
      </c>
      <c r="F22" s="27" t="n">
        <f aca="false">SUM(B22:E22)</f>
        <v>40</v>
      </c>
      <c r="G22" s="32" t="n">
        <v>6</v>
      </c>
    </row>
    <row r="24" customFormat="false" ht="15" hidden="false" customHeight="false" outlineLevel="0" collapsed="false">
      <c r="A24" s="21" t="s">
        <v>263</v>
      </c>
    </row>
  </sheetData>
  <mergeCells count="4">
    <mergeCell ref="A1:I1"/>
    <mergeCell ref="A2:I2"/>
    <mergeCell ref="A3:I3"/>
    <mergeCell ref="A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62"/>
  </cols>
  <sheetData>
    <row r="1" customFormat="false" ht="17.3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6" t="s">
        <v>264</v>
      </c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7" t="s">
        <v>17</v>
      </c>
      <c r="B3" s="7"/>
      <c r="C3" s="7"/>
      <c r="D3" s="7"/>
      <c r="E3" s="7"/>
      <c r="F3" s="7"/>
      <c r="G3" s="7"/>
      <c r="H3" s="7"/>
    </row>
    <row r="4" customFormat="false" ht="15" hidden="false" customHeight="false" outlineLevel="0" collapsed="false">
      <c r="A4" s="8" t="s">
        <v>18</v>
      </c>
      <c r="B4" s="8"/>
      <c r="C4" s="8"/>
      <c r="D4" s="8"/>
      <c r="E4" s="8"/>
      <c r="F4" s="8"/>
      <c r="G4" s="8"/>
      <c r="H4" s="8"/>
    </row>
    <row r="6" customFormat="false" ht="23.85" hidden="false" customHeight="false" outlineLevel="0" collapsed="false">
      <c r="A6" s="9" t="s">
        <v>265</v>
      </c>
      <c r="B6" s="9" t="s">
        <v>256</v>
      </c>
      <c r="C6" s="9" t="s">
        <v>266</v>
      </c>
      <c r="D6" s="9" t="s">
        <v>267</v>
      </c>
      <c r="E6" s="9" t="s">
        <v>268</v>
      </c>
      <c r="F6" s="9" t="s">
        <v>269</v>
      </c>
      <c r="G6" s="9" t="s">
        <v>270</v>
      </c>
      <c r="H6" s="9" t="s">
        <v>271</v>
      </c>
    </row>
    <row r="7" customFormat="false" ht="15" hidden="false" customHeight="false" outlineLevel="0" collapsed="false">
      <c r="A7" s="12" t="s">
        <v>272</v>
      </c>
      <c r="B7" s="12" t="s">
        <v>273</v>
      </c>
      <c r="C7" s="12" t="s">
        <v>274</v>
      </c>
      <c r="D7" s="22" t="n">
        <v>2860</v>
      </c>
      <c r="E7" s="24" t="n">
        <f aca="false">D7/'P&amp;L Summary'!F13</f>
        <v>0.0613076098606645</v>
      </c>
      <c r="F7" s="12" t="s">
        <v>275</v>
      </c>
      <c r="G7" s="12" t="s">
        <v>276</v>
      </c>
      <c r="H7" s="12" t="s">
        <v>277</v>
      </c>
    </row>
    <row r="8" customFormat="false" ht="15" hidden="false" customHeight="false" outlineLevel="0" collapsed="false">
      <c r="A8" s="12" t="s">
        <v>278</v>
      </c>
      <c r="B8" s="12" t="s">
        <v>153</v>
      </c>
      <c r="C8" s="12" t="s">
        <v>279</v>
      </c>
      <c r="D8" s="22" t="n">
        <v>1180</v>
      </c>
      <c r="E8" s="24" t="n">
        <f aca="false">D8/'P&amp;L Summary'!F13</f>
        <v>0.0252947481243301</v>
      </c>
      <c r="F8" s="12" t="s">
        <v>280</v>
      </c>
      <c r="G8" s="12" t="s">
        <v>281</v>
      </c>
      <c r="H8" s="12" t="s">
        <v>282</v>
      </c>
    </row>
    <row r="9" customFormat="false" ht="15" hidden="false" customHeight="false" outlineLevel="0" collapsed="false">
      <c r="A9" s="12" t="s">
        <v>283</v>
      </c>
      <c r="B9" s="12" t="s">
        <v>154</v>
      </c>
      <c r="C9" s="12" t="s">
        <v>284</v>
      </c>
      <c r="D9" s="22" t="n">
        <v>940</v>
      </c>
      <c r="E9" s="24" t="n">
        <f aca="false">D9/'P&amp;L Summary'!F13</f>
        <v>0.0201500535905681</v>
      </c>
      <c r="F9" s="12" t="s">
        <v>285</v>
      </c>
      <c r="G9" s="12" t="s">
        <v>276</v>
      </c>
      <c r="H9" s="12" t="s">
        <v>286</v>
      </c>
    </row>
    <row r="10" customFormat="false" ht="15" hidden="false" customHeight="false" outlineLevel="0" collapsed="false">
      <c r="A10" s="12" t="s">
        <v>287</v>
      </c>
      <c r="B10" s="12" t="s">
        <v>155</v>
      </c>
      <c r="C10" s="12" t="s">
        <v>288</v>
      </c>
      <c r="D10" s="22" t="n">
        <v>870</v>
      </c>
      <c r="E10" s="24" t="n">
        <f aca="false">D10/'P&amp;L Summary'!F13</f>
        <v>0.0186495176848875</v>
      </c>
      <c r="F10" s="12" t="s">
        <v>289</v>
      </c>
      <c r="G10" s="12" t="s">
        <v>290</v>
      </c>
      <c r="H10" s="12" t="s">
        <v>291</v>
      </c>
    </row>
    <row r="11" customFormat="false" ht="15" hidden="false" customHeight="false" outlineLevel="0" collapsed="false">
      <c r="A11" s="12" t="s">
        <v>292</v>
      </c>
      <c r="B11" s="12" t="s">
        <v>153</v>
      </c>
      <c r="C11" s="12" t="s">
        <v>241</v>
      </c>
      <c r="D11" s="22" t="n">
        <v>810</v>
      </c>
      <c r="E11" s="24" t="n">
        <f aca="false">D11/'P&amp;L Summary'!F13</f>
        <v>0.0173633440514469</v>
      </c>
      <c r="F11" s="12" t="s">
        <v>293</v>
      </c>
      <c r="G11" s="12" t="s">
        <v>294</v>
      </c>
      <c r="H11" s="12"/>
    </row>
    <row r="12" customFormat="false" ht="15" hidden="false" customHeight="false" outlineLevel="0" collapsed="false">
      <c r="A12" s="12" t="s">
        <v>295</v>
      </c>
      <c r="B12" s="12" t="s">
        <v>155</v>
      </c>
      <c r="C12" s="12" t="s">
        <v>296</v>
      </c>
      <c r="D12" s="22" t="n">
        <v>690</v>
      </c>
      <c r="E12" s="24" t="n">
        <f aca="false">D12/'P&amp;L Summary'!F13</f>
        <v>0.0147909967845659</v>
      </c>
      <c r="F12" s="12" t="s">
        <v>297</v>
      </c>
      <c r="G12" s="12" t="s">
        <v>276</v>
      </c>
      <c r="H12" s="12"/>
    </row>
    <row r="13" customFormat="false" ht="15" hidden="false" customHeight="false" outlineLevel="0" collapsed="false">
      <c r="A13" s="12" t="s">
        <v>298</v>
      </c>
      <c r="B13" s="12" t="s">
        <v>154</v>
      </c>
      <c r="C13" s="12" t="s">
        <v>242</v>
      </c>
      <c r="D13" s="22" t="n">
        <v>620</v>
      </c>
      <c r="E13" s="24" t="n">
        <f aca="false">D13/'P&amp;L Summary'!F13</f>
        <v>0.0132904608788853</v>
      </c>
      <c r="F13" s="12" t="s">
        <v>299</v>
      </c>
      <c r="G13" s="12" t="s">
        <v>290</v>
      </c>
      <c r="H13" s="12"/>
    </row>
    <row r="14" customFormat="false" ht="15" hidden="false" customHeight="false" outlineLevel="0" collapsed="false">
      <c r="A14" s="12" t="s">
        <v>300</v>
      </c>
      <c r="B14" s="12" t="s">
        <v>153</v>
      </c>
      <c r="C14" s="12" t="s">
        <v>241</v>
      </c>
      <c r="D14" s="22" t="n">
        <v>540</v>
      </c>
      <c r="E14" s="24" t="n">
        <f aca="false">D14/'P&amp;L Summary'!F13</f>
        <v>0.0115755627009646</v>
      </c>
      <c r="F14" s="12" t="s">
        <v>301</v>
      </c>
      <c r="G14" s="12" t="s">
        <v>281</v>
      </c>
      <c r="H14" s="12" t="s">
        <v>302</v>
      </c>
    </row>
    <row r="15" customFormat="false" ht="15" hidden="false" customHeight="false" outlineLevel="0" collapsed="false">
      <c r="A15" s="12" t="s">
        <v>303</v>
      </c>
      <c r="B15" s="12" t="s">
        <v>155</v>
      </c>
      <c r="C15" s="12" t="s">
        <v>242</v>
      </c>
      <c r="D15" s="22" t="n">
        <v>510</v>
      </c>
      <c r="E15" s="24" t="n">
        <f aca="false">D15/'P&amp;L Summary'!F13</f>
        <v>0.0109324758842444</v>
      </c>
      <c r="F15" s="12" t="s">
        <v>304</v>
      </c>
      <c r="G15" s="12" t="s">
        <v>290</v>
      </c>
      <c r="H15" s="12" t="s">
        <v>305</v>
      </c>
    </row>
    <row r="16" customFormat="false" ht="15" hidden="false" customHeight="false" outlineLevel="0" collapsed="false">
      <c r="A16" s="12" t="s">
        <v>306</v>
      </c>
      <c r="B16" s="12" t="s">
        <v>154</v>
      </c>
      <c r="C16" s="12" t="s">
        <v>241</v>
      </c>
      <c r="D16" s="22" t="n">
        <v>470</v>
      </c>
      <c r="E16" s="24" t="n">
        <f aca="false">D16/'P&amp;L Summary'!F13</f>
        <v>0.010075026795284</v>
      </c>
      <c r="F16" s="12" t="s">
        <v>307</v>
      </c>
      <c r="G16" s="12" t="s">
        <v>276</v>
      </c>
      <c r="H16" s="12" t="s">
        <v>308</v>
      </c>
    </row>
    <row r="18" customFormat="false" ht="15" hidden="false" customHeight="false" outlineLevel="0" collapsed="false">
      <c r="A18" s="23" t="s">
        <v>309</v>
      </c>
    </row>
    <row r="19" customFormat="false" ht="15" hidden="false" customHeight="false" outlineLevel="0" collapsed="false">
      <c r="A19" s="12" t="s">
        <v>153</v>
      </c>
      <c r="D19" s="22" t="n">
        <v>1240</v>
      </c>
    </row>
    <row r="20" customFormat="false" ht="15" hidden="false" customHeight="false" outlineLevel="0" collapsed="false">
      <c r="A20" s="12" t="s">
        <v>154</v>
      </c>
      <c r="D20" s="22" t="n">
        <v>120</v>
      </c>
    </row>
    <row r="21" customFormat="false" ht="15" hidden="false" customHeight="false" outlineLevel="0" collapsed="false">
      <c r="A21" s="12" t="s">
        <v>155</v>
      </c>
      <c r="D21" s="22" t="n">
        <v>610</v>
      </c>
    </row>
  </sheetData>
  <mergeCells count="4">
    <mergeCell ref="A1:H1"/>
    <mergeCell ref="A2:H2"/>
    <mergeCell ref="A3:H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5" t="s">
        <v>0</v>
      </c>
      <c r="B1" s="5"/>
      <c r="C1" s="5"/>
    </row>
    <row r="2" customFormat="false" ht="15" hidden="false" customHeight="false" outlineLevel="0" collapsed="false">
      <c r="A2" s="6" t="s">
        <v>310</v>
      </c>
      <c r="B2" s="6"/>
      <c r="C2" s="6"/>
    </row>
    <row r="3" customFormat="false" ht="15" hidden="false" customHeight="false" outlineLevel="0" collapsed="false">
      <c r="A3" s="7" t="s">
        <v>17</v>
      </c>
      <c r="B3" s="7"/>
      <c r="C3" s="7"/>
    </row>
    <row r="4" customFormat="false" ht="15" hidden="false" customHeight="false" outlineLevel="0" collapsed="false">
      <c r="A4" s="8" t="s">
        <v>18</v>
      </c>
      <c r="B4" s="8"/>
      <c r="C4" s="8"/>
    </row>
    <row r="6" customFormat="false" ht="15" hidden="false" customHeight="false" outlineLevel="0" collapsed="false">
      <c r="A6" s="9" t="s">
        <v>311</v>
      </c>
      <c r="B6" s="9" t="s">
        <v>99</v>
      </c>
      <c r="C6" s="9" t="s">
        <v>312</v>
      </c>
    </row>
    <row r="7" customFormat="false" ht="15" hidden="false" customHeight="false" outlineLevel="0" collapsed="false">
      <c r="A7" s="12" t="s">
        <v>313</v>
      </c>
      <c r="B7" s="15" t="n">
        <f aca="false">'P&amp;L Summary'!F34</f>
        <v>9712</v>
      </c>
      <c r="C7" s="21" t="s">
        <v>314</v>
      </c>
    </row>
    <row r="8" customFormat="false" ht="15" hidden="false" customHeight="false" outlineLevel="0" collapsed="false">
      <c r="A8" s="12" t="s">
        <v>315</v>
      </c>
      <c r="B8" s="15" t="n">
        <f aca="false">'P&amp;L Summary'!F31</f>
        <v>600</v>
      </c>
      <c r="C8" s="21" t="s">
        <v>316</v>
      </c>
    </row>
    <row r="9" customFormat="false" ht="15" hidden="false" customHeight="false" outlineLevel="0" collapsed="false">
      <c r="A9" s="12" t="s">
        <v>317</v>
      </c>
      <c r="B9" s="22" t="n">
        <v>735</v>
      </c>
      <c r="C9" s="21" t="s">
        <v>318</v>
      </c>
    </row>
    <row r="10" customFormat="false" ht="15" hidden="false" customHeight="false" outlineLevel="0" collapsed="false">
      <c r="A10" s="12" t="s">
        <v>319</v>
      </c>
      <c r="B10" s="15" t="n">
        <f aca="false">'P&amp;L Summary'!F19</f>
        <v>410</v>
      </c>
      <c r="C10" s="21" t="s">
        <v>320</v>
      </c>
    </row>
    <row r="11" customFormat="false" ht="15" hidden="false" customHeight="false" outlineLevel="0" collapsed="false">
      <c r="A11" s="23" t="s">
        <v>321</v>
      </c>
      <c r="B11" s="14" t="n">
        <f aca="false">SUM(B7:B10)</f>
        <v>11457</v>
      </c>
      <c r="C11" s="21"/>
    </row>
    <row r="12" customFormat="false" ht="15" hidden="false" customHeight="false" outlineLevel="0" collapsed="false">
      <c r="A12" s="23" t="s">
        <v>322</v>
      </c>
      <c r="B12" s="25" t="n">
        <f aca="false">IF('P&amp;L Summary'!F13=0,0,B11/'P&amp;L Summary'!F13)</f>
        <v>0.245594855305466</v>
      </c>
      <c r="C12" s="21"/>
    </row>
  </sheetData>
  <mergeCells count="4">
    <mergeCell ref="A1:C1"/>
    <mergeCell ref="A2:C2"/>
    <mergeCell ref="A3:C3"/>
    <mergeCell ref="A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2026-10-20T20:42:36Z</dcterms:created>
  <dc:creator>openpyxl</dc:creator>
  <dc:description/>
  <dc:language>en-US</dc:language>
  <cp:lastModifiedBy/>
  <dcterms:modified xsi:type="dcterms:W3CDTF">2026-10-20T20:42:36Z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