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FO Commentary" sheetId="1" state="visible" r:id="rId3"/>
    <sheet name="Income Statement" sheetId="2" state="visible" r:id="rId4"/>
    <sheet name="Branch Results" sheetId="3" state="visible" r:id="rId5"/>
    <sheet name="Operating Metrics" sheetId="4" state="visible" r:id="rId6"/>
    <sheet name="AR Aging &amp; Recon" sheetId="5" state="visible" r:id="rId7"/>
    <sheet name="Monthly Detail"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<sst xmlns="http://schemas.openxmlformats.org/spreadsheetml/2006/main" count="262" uniqueCount="172">
  <si>
    <t xml:space="preserve">Summit Home Services Group: September 2026 Management Commentary</t>
  </si>
  <si>
    <t xml:space="preserve">From: Chief Financial Officer   |   To: Sponsor deal team   |   Synthetic test data. Fictional company; not based on any real business.</t>
  </si>
  <si>
    <t xml:space="preserve">Summary</t>
  </si>
  <si>
    <t xml:space="preserve">September net revenue of $3.30 million finished ahead of budget, extending a strong summer. Replacement demand remained healthy and our average ticket continued to climb on both service calls and installations. EBITDA came in below plan, which we attribute primarily to weather-driven overtime during an unusually warm first half of the month. We view this as timing and do not expect it to recur into the shoulder season.</t>
  </si>
  <si>
    <t xml:space="preserve">Gross margin</t>
  </si>
  <si>
    <t xml:space="preserve">Gross margin was lower than budget because of the overtime noted above. Equipment and material costs were broadly in line with expectations, and we continue to pass through manufacturer price changes on a timely basis.</t>
  </si>
  <si>
    <t xml:space="preserve">Branches</t>
  </si>
  <si>
    <t xml:space="preserve">Northern had a record month on revenue and contribution. Central performed in line with plan. Lakeshore was softer than budget after two senior technician departures in August; we have backfilled one role and expect the branch to return to plan in Q4. Service quality across the branches remains consistent with historical levels.</t>
  </si>
  <si>
    <t xml:space="preserve">Comfort Club</t>
  </si>
  <si>
    <t xml:space="preserve">The Comfort Club membership base reached a record 13,661 active agreements at month-end, supported by strong new-agreement sales attached to summer installations. Recurring maintenance revenue remains a stable foundation for the business.</t>
  </si>
  <si>
    <t xml:space="preserve">Working capital</t>
  </si>
  <si>
    <t xml:space="preserve">Collections remained solid. Receivables increased modestly with higher seasonal volume, and the majority of the balance is current, including amounts due from our consumer financing partner that typically fund within a few days.</t>
  </si>
  <si>
    <t xml:space="preserve">Outlook</t>
  </si>
  <si>
    <t xml:space="preserve">We expect October and November to benefit from heating-season tune-ups and a healthy installation backlog. We are reaffirming the full-year EBITDA budget and expect the September shortfall to be recovered in Q4.</t>
  </si>
  <si>
    <t xml:space="preserve">Summit Home Services Group</t>
  </si>
  <si>
    <t xml:space="preserve">Consolidated Income Statement</t>
  </si>
  <si>
    <t xml:space="preserve">Month and Year to Date Ended September 30, 2026  |  ($ in thousands)</t>
  </si>
  <si>
    <t xml:space="preserve">Synthetic test data. Fictional company; not based on any real business.</t>
  </si>
  <si>
    <t xml:space="preserve">MONTH</t>
  </si>
  <si>
    <t xml:space="preserve">YEAR TO DATE</t>
  </si>
  <si>
    <t xml:space="preserve">Acct</t>
  </si>
  <si>
    <t xml:space="preserve">Description</t>
  </si>
  <si>
    <t xml:space="preserve">Sep-26 Budget</t>
  </si>
  <si>
    <t xml:space="preserve">Sep-26 Actual</t>
  </si>
  <si>
    <t xml:space="preserve">Fav / (Unfav) $</t>
  </si>
  <si>
    <t xml:space="preserve">Fav / (Unfav) %</t>
  </si>
  <si>
    <t xml:space="preserve">Aug-26 Actual</t>
  </si>
  <si>
    <t xml:space="preserve">Sep-25 Actual</t>
  </si>
  <si>
    <t xml:space="preserve">YTD Budget</t>
  </si>
  <si>
    <t xml:space="preserve">YTD Actual</t>
  </si>
  <si>
    <t xml:space="preserve">YTD Prior Year</t>
  </si>
  <si>
    <t xml:space="preserve">REVENUE</t>
  </si>
  <si>
    <t xml:space="preserve">HVAC Replacement &amp; Installation</t>
  </si>
  <si>
    <t xml:space="preserve">HVAC Repair &amp; Service Calls</t>
  </si>
  <si>
    <t xml:space="preserve">Plumbing Repair &amp; Drain Service</t>
  </si>
  <si>
    <t xml:space="preserve">Plumbing Installation (Water Heaters, Repipes)</t>
  </si>
  <si>
    <t xml:space="preserve">Comfort Club Maintenance Agreements</t>
  </si>
  <si>
    <t xml:space="preserve">Discounts, Coupons &amp; Warranty Credits</t>
  </si>
  <si>
    <t xml:space="preserve">Net Revenue</t>
  </si>
  <si>
    <t xml:space="preserve">COST OF SERVICES</t>
  </si>
  <si>
    <t xml:space="preserve">Technician Wages - Straight Time</t>
  </si>
  <si>
    <t xml:space="preserve">Technician Wages - Overtime</t>
  </si>
  <si>
    <t xml:space="preserve">Field Payroll Taxes &amp; Benefits</t>
  </si>
  <si>
    <t xml:space="preserve">HVAC Equipment (Condensers, Furnaces, Air Handlers)</t>
  </si>
  <si>
    <t xml:space="preserve">Parts, Fittings &amp; Job Materials</t>
  </si>
  <si>
    <t xml:space="preserve">Subcontracted Electrical &amp; Permits</t>
  </si>
  <si>
    <t xml:space="preserve">Fleet - Fuel, Lease &amp; Maintenance</t>
  </si>
  <si>
    <t xml:space="preserve">Total Cost of Services</t>
  </si>
  <si>
    <t xml:space="preserve">Gross Profit</t>
  </si>
  <si>
    <t xml:space="preserve">Gross Margin %</t>
  </si>
  <si>
    <t xml:space="preserve">OPERATING EXPENSES</t>
  </si>
  <si>
    <t xml:space="preserve">CSR, Dispatch &amp; Office Salaries</t>
  </si>
  <si>
    <t xml:space="preserve">Branch &amp; Corporate Management Salaries</t>
  </si>
  <si>
    <t xml:space="preserve">Office Payroll Taxes &amp; Benefits</t>
  </si>
  <si>
    <t xml:space="preserve">Marketing, Lead Gen &amp; Digital Ads</t>
  </si>
  <si>
    <t xml:space="preserve">Field Service Software &amp; Call Center</t>
  </si>
  <si>
    <t xml:space="preserve">Branch Facility Rent</t>
  </si>
  <si>
    <t xml:space="preserve">Utilities &amp; Telecom</t>
  </si>
  <si>
    <t xml:space="preserve">General Liability, Auto &amp; Umbrella Insurance</t>
  </si>
  <si>
    <t xml:space="preserve">Accounting, Legal &amp; Professional Fees</t>
  </si>
  <si>
    <t xml:space="preserve">Sponsor Management Fee</t>
  </si>
  <si>
    <t xml:space="preserve">Technician Training &amp; Recruiting</t>
  </si>
  <si>
    <t xml:space="preserve">Other G&amp;A</t>
  </si>
  <si>
    <t xml:space="preserve">Total Operating Expenses</t>
  </si>
  <si>
    <t xml:space="preserve">EBITDA</t>
  </si>
  <si>
    <t xml:space="preserve">EBITDA Margin %</t>
  </si>
  <si>
    <t xml:space="preserve">BELOW EBITDA</t>
  </si>
  <si>
    <t xml:space="preserve">Depreciation - Fleet &amp; Equipment</t>
  </si>
  <si>
    <t xml:space="preserve">Amortization of Acquired Intangibles</t>
  </si>
  <si>
    <t xml:space="preserve">Interest Expense - Term Loan &amp; Revolver</t>
  </si>
  <si>
    <t xml:space="preserve">Provision for Income Taxes</t>
  </si>
  <si>
    <t xml:space="preserve">Net Income</t>
  </si>
  <si>
    <t xml:space="preserve">Branch Results, September 2026</t>
  </si>
  <si>
    <t xml:space="preserve">($ in thousands unless noted)</t>
  </si>
  <si>
    <t xml:space="preserve">Northern (Ridgefield)</t>
  </si>
  <si>
    <t xml:space="preserve">Central (Maple Grove)</t>
  </si>
  <si>
    <t xml:space="preserve">Lakeshore (Port Haven)</t>
  </si>
  <si>
    <t xml:space="preserve">Total Branches</t>
  </si>
  <si>
    <t xml:space="preserve">Actual</t>
  </si>
  <si>
    <t xml:space="preserve">Budget</t>
  </si>
  <si>
    <t xml:space="preserve">Cost of Services</t>
  </si>
  <si>
    <t xml:space="preserve">Branch Operating Expenses</t>
  </si>
  <si>
    <t xml:space="preserve">Branch Contribution</t>
  </si>
  <si>
    <t xml:space="preserve">Contribution Margin %</t>
  </si>
  <si>
    <t xml:space="preserve">Reconciliation to Company EBITDA</t>
  </si>
  <si>
    <t xml:space="preserve">Total Branch Contribution</t>
  </si>
  <si>
    <t xml:space="preserve">Less: Corporate &amp; Unallocated Overhead</t>
  </si>
  <si>
    <t xml:space="preserve">Company EBITDA</t>
  </si>
  <si>
    <t xml:space="preserve">Branch Operating Metrics (Actual)</t>
  </si>
  <si>
    <t xml:space="preserve">Technicians (headcount)</t>
  </si>
  <si>
    <t xml:space="preserve">Service calls completed</t>
  </si>
  <si>
    <t xml:space="preserve">Callbacks (repeat visits within 30 days)</t>
  </si>
  <si>
    <t xml:space="preserve">Callback rate</t>
  </si>
  <si>
    <t xml:space="preserve">Technician utilization (billable / paid hours)</t>
  </si>
  <si>
    <t xml:space="preserve">Revenue per technician ($000)</t>
  </si>
  <si>
    <t xml:space="preserve">Operating Metrics, January to September 2026</t>
  </si>
  <si>
    <t xml:space="preserve">Metric</t>
  </si>
  <si>
    <t xml:space="preserve">Unit</t>
  </si>
  <si>
    <t xml:space="preserve">Jan-26</t>
  </si>
  <si>
    <t xml:space="preserve">Feb-26</t>
  </si>
  <si>
    <t xml:space="preserve">Mar-26</t>
  </si>
  <si>
    <t xml:space="preserve">Apr-26</t>
  </si>
  <si>
    <t xml:space="preserve">May-26</t>
  </si>
  <si>
    <t xml:space="preserve">Jun-26</t>
  </si>
  <si>
    <t xml:space="preserve">Jul-26</t>
  </si>
  <si>
    <t xml:space="preserve">Aug-26</t>
  </si>
  <si>
    <t xml:space="preserve">Sep-26</t>
  </si>
  <si>
    <t xml:space="preserve">Service</t>
  </si>
  <si>
    <t xml:space="preserve">Service calls completed (HVAC + plumbing repair)</t>
  </si>
  <si>
    <t xml:space="preserve">#</t>
  </si>
  <si>
    <t xml:space="preserve">Repair &amp; service revenue</t>
  </si>
  <si>
    <t xml:space="preserve">$000</t>
  </si>
  <si>
    <t xml:space="preserve">Average revenue per service call</t>
  </si>
  <si>
    <t xml:space="preserve">$</t>
  </si>
  <si>
    <t xml:space="preserve">%</t>
  </si>
  <si>
    <t xml:space="preserve">Installation</t>
  </si>
  <si>
    <t xml:space="preserve">HVAC systems installed</t>
  </si>
  <si>
    <t xml:space="preserve">Average HVAC install ticket</t>
  </si>
  <si>
    <t xml:space="preserve">Equipment cost as % of HVAC install revenue</t>
  </si>
  <si>
    <t xml:space="preserve">Installation backlog (sold, not yet installed)</t>
  </si>
  <si>
    <t xml:space="preserve">Workforce</t>
  </si>
  <si>
    <t xml:space="preserve">Technicians (headcount, month-end)</t>
  </si>
  <si>
    <t xml:space="preserve">Overtime as % of technician wages</t>
  </si>
  <si>
    <t xml:space="preserve">Comfort Club (maintenance agreements)</t>
  </si>
  <si>
    <t xml:space="preserve">Agreements up for renewal</t>
  </si>
  <si>
    <t xml:space="preserve">Agreements renewed</t>
  </si>
  <si>
    <t xml:space="preserve">Renewal rate</t>
  </si>
  <si>
    <t xml:space="preserve">New agreements sold</t>
  </si>
  <si>
    <t xml:space="preserve">Active agreements, month-end</t>
  </si>
  <si>
    <t xml:space="preserve">Accounts Receivable Aging as of September 30, 2026</t>
  </si>
  <si>
    <t xml:space="preserve">($ in thousands)</t>
  </si>
  <si>
    <t xml:space="preserve">Customer / Group</t>
  </si>
  <si>
    <t xml:space="preserve">Type</t>
  </si>
  <si>
    <t xml:space="preserve">Current</t>
  </si>
  <si>
    <t xml:space="preserve">31-60</t>
  </si>
  <si>
    <t xml:space="preserve">61-90</t>
  </si>
  <si>
    <t xml:space="preserve">Over 90</t>
  </si>
  <si>
    <t xml:space="preserve">Total</t>
  </si>
  <si>
    <t xml:space="preserve">% of Total</t>
  </si>
  <si>
    <t xml:space="preserve">Consumer Financing Partner (funded installs)</t>
  </si>
  <si>
    <t xml:space="preserve">Financing</t>
  </si>
  <si>
    <t xml:space="preserve">Home Warranty Company A</t>
  </si>
  <si>
    <t xml:space="preserve">Warranty</t>
  </si>
  <si>
    <t xml:space="preserve">Home Warranty Company B</t>
  </si>
  <si>
    <t xml:space="preserve">Builder Customer 01</t>
  </si>
  <si>
    <t xml:space="preserve">New construction</t>
  </si>
  <si>
    <t xml:space="preserve">Builder Customer 02</t>
  </si>
  <si>
    <t xml:space="preserve">Property Management Accounts (14)</t>
  </si>
  <si>
    <t xml:space="preserve">Commercial</t>
  </si>
  <si>
    <t xml:space="preserve">Light Commercial Accounts (22)</t>
  </si>
  <si>
    <t xml:space="preserve">Residential Open Invoices</t>
  </si>
  <si>
    <t xml:space="preserve">Residential</t>
  </si>
  <si>
    <t xml:space="preserve">Total Accounts Receivable</t>
  </si>
  <si>
    <t xml:space="preserve">% of total</t>
  </si>
  <si>
    <t xml:space="preserve">Reconciliation to General Ledger</t>
  </si>
  <si>
    <t xml:space="preserve">AR per aging (above)</t>
  </si>
  <si>
    <t xml:space="preserve">AR per GL, account 1200 Trade Receivables</t>
  </si>
  <si>
    <t xml:space="preserve">Difference</t>
  </si>
  <si>
    <t xml:space="preserve">Allowance for doubtful accounts, GL account 1290</t>
  </si>
  <si>
    <t xml:space="preserve">Net accounts receivable</t>
  </si>
  <si>
    <t xml:space="preserve">Trend (month-end)</t>
  </si>
  <si>
    <t xml:space="preserve">Total AR</t>
  </si>
  <si>
    <t xml:space="preserve">Over 90 days</t>
  </si>
  <si>
    <t xml:space="preserve">Monthly net revenue</t>
  </si>
  <si>
    <t xml:space="preserve">DSO (AR / monthly revenue x 30)</t>
  </si>
  <si>
    <t xml:space="preserve">Monthly Income Statement Detail, January to September 2026</t>
  </si>
  <si>
    <t xml:space="preserve">YTD Total</t>
  </si>
  <si>
    <t xml:space="preserve">Revenue</t>
  </si>
  <si>
    <t xml:space="preserve">Gross Margin</t>
  </si>
  <si>
    <t xml:space="preserve">Operating Expenses</t>
  </si>
  <si>
    <t xml:space="preserve">EBITDA Margin</t>
  </si>
  <si>
    <t xml:space="preserve">Below EBITDA</t>
  </si>
</sst>
</file>

<file path=xl/styles.xml><?xml version="1.0" encoding="utf-8"?>
<styleSheet xmlns="http://schemas.openxmlformats.org/spreadsheetml/2006/main">
  <numFmts count="7">
    <numFmt numFmtId="164" formatCode="General"/>
    <numFmt numFmtId="165" formatCode="#,##0;\(#,##0\);\–"/>
    <numFmt numFmtId="166" formatCode="0.0%;\(0.0%\);\–"/>
    <numFmt numFmtId="167" formatCode="#,##0"/>
    <numFmt numFmtId="168" formatCode="#,##0.0;\(#,##0.0\);\–"/>
    <numFmt numFmtId="169" formatCode="\$#,##0"/>
    <numFmt numFmtId="170" formatCode="0.0"/>
  </numFmts>
  <fonts count="16">
    <font>
      <sz val="11"/>
      <color theme="1"/>
      <name val="Calibri"/>
      <family val="2"/>
      <charset val="1"/>
    </font>
    <font>
      <sz val="10"/>
      <name val="Arial"/>
      <family val="0"/>
    </font>
    <font>
      <sz val="10"/>
      <name val="Arial"/>
      <family val="0"/>
    </font>
    <font>
      <sz val="10"/>
      <name val="Arial"/>
      <family val="0"/>
    </font>
    <font>
      <b val="true"/>
      <sz val="12"/>
      <name val="Calibri"/>
      <family val="0"/>
      <charset val="1"/>
    </font>
    <font>
      <i val="true"/>
      <sz val="10"/>
      <name val="Calibri"/>
      <family val="0"/>
      <charset val="1"/>
    </font>
    <font>
      <sz val="10"/>
      <name val="Calibri"/>
      <family val="0"/>
      <charset val="1"/>
    </font>
    <font>
      <b val="true"/>
      <sz val="10"/>
      <name val="Calibri"/>
      <family val="0"/>
      <charset val="1"/>
    </font>
    <font>
      <b val="true"/>
      <sz val="14"/>
      <name val="Calibri"/>
      <family val="0"/>
      <charset val="1"/>
    </font>
    <font>
      <i val="true"/>
      <sz val="9"/>
      <name val="Calibri"/>
      <family val="0"/>
      <charset val="1"/>
    </font>
    <font>
      <b val="true"/>
      <sz val="10"/>
      <color rgb="FFFFFFFF"/>
      <name val="Calibri"/>
      <family val="0"/>
      <charset val="1"/>
    </font>
    <font>
      <sz val="10"/>
      <color rgb="FF1F4E79"/>
      <name val="Calibri"/>
      <family val="0"/>
      <charset val="1"/>
    </font>
    <font>
      <sz val="10"/>
      <color rgb="FF006100"/>
      <name val="Calibri"/>
      <family val="0"/>
      <charset val="1"/>
    </font>
    <font>
      <sz val="10"/>
      <color rgb="FF000000"/>
      <name val="Calibri"/>
      <family val="0"/>
      <charset val="1"/>
    </font>
    <font>
      <b val="true"/>
      <sz val="10"/>
      <color rgb="FF000000"/>
      <name val="Calibri"/>
      <family val="0"/>
      <charset val="1"/>
    </font>
    <font>
      <b val="true"/>
      <sz val="11"/>
      <name val="Calibri"/>
      <family val="0"/>
      <charset val="1"/>
    </font>
  </fonts>
  <fills count="5">
    <fill>
      <patternFill patternType="none"/>
    </fill>
    <fill>
      <patternFill patternType="gray125"/>
    </fill>
    <fill>
      <patternFill patternType="solid">
        <fgColor rgb="FF0B3D2E"/>
        <bgColor rgb="FF003366"/>
      </patternFill>
    </fill>
    <fill>
      <patternFill patternType="solid">
        <fgColor rgb="FFE2EFDA"/>
        <bgColor rgb="FFF2F2F2"/>
      </patternFill>
    </fill>
    <fill>
      <patternFill patternType="solid">
        <fgColor rgb="FFF2F2F2"/>
        <bgColor rgb="FFE2EFDA"/>
      </patternFill>
    </fill>
  </fills>
  <borders count="2">
    <border diagonalUp="false" diagonalDown="false">
      <left/>
      <right/>
      <top/>
      <bottom/>
      <diagonal/>
    </border>
    <border diagonalUp="false" diagonalDown="false">
      <left/>
      <right/>
      <top style="thin">
        <color rgb="FF8080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center" vertical="bottom" textRotation="0" wrapText="false" indent="0" shrinkToFit="false"/>
      <protection locked="true" hidden="false"/>
    </xf>
    <xf numFmtId="164" fontId="10" fillId="2" borderId="0" xfId="0" applyFont="true" applyBorder="true" applyAlignment="true" applyProtection="false">
      <alignment horizontal="center"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B3D2E"/>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35.05" hidden="false" customHeight="false" outlineLevel="0" collapsed="false">
      <c r="A5" s="3" t="s">
        <v>3</v>
      </c>
    </row>
    <row r="6" customFormat="false" ht="15" hidden="false" customHeight="false" outlineLevel="0" collapsed="false">
      <c r="A6" s="3"/>
    </row>
    <row r="7" customFormat="false" ht="15" hidden="false" customHeight="false" outlineLevel="0" collapsed="false">
      <c r="A7" s="4" t="s">
        <v>4</v>
      </c>
    </row>
    <row r="8" customFormat="false" ht="23.85" hidden="false" customHeight="false" outlineLevel="0" collapsed="false">
      <c r="A8" s="3" t="s">
        <v>5</v>
      </c>
    </row>
    <row r="9" customFormat="false" ht="15" hidden="false" customHeight="false" outlineLevel="0" collapsed="false">
      <c r="A9" s="3"/>
    </row>
    <row r="10" customFormat="false" ht="15" hidden="false" customHeight="false" outlineLevel="0" collapsed="false">
      <c r="A10" s="4" t="s">
        <v>6</v>
      </c>
    </row>
    <row r="11" customFormat="false" ht="35.05" hidden="false" customHeight="false" outlineLevel="0" collapsed="false">
      <c r="A11" s="3" t="s">
        <v>7</v>
      </c>
    </row>
    <row r="12" customFormat="false" ht="15" hidden="false" customHeight="false" outlineLevel="0" collapsed="false">
      <c r="A12" s="3"/>
    </row>
    <row r="13" customFormat="false" ht="15" hidden="false" customHeight="false" outlineLevel="0" collapsed="false">
      <c r="A13" s="4" t="s">
        <v>8</v>
      </c>
    </row>
    <row r="14" customFormat="false" ht="23.85" hidden="false" customHeight="false" outlineLevel="0" collapsed="false">
      <c r="A14" s="3" t="s">
        <v>9</v>
      </c>
    </row>
    <row r="15" customFormat="false" ht="15" hidden="false" customHeight="false" outlineLevel="0" collapsed="false">
      <c r="A15" s="3"/>
    </row>
    <row r="16" customFormat="false" ht="15" hidden="false" customHeight="false" outlineLevel="0" collapsed="false">
      <c r="A16" s="4" t="s">
        <v>10</v>
      </c>
    </row>
    <row r="17" customFormat="false" ht="23.85" hidden="false" customHeight="false" outlineLevel="0" collapsed="false">
      <c r="A17" s="3" t="s">
        <v>11</v>
      </c>
    </row>
    <row r="18" customFormat="false" ht="15" hidden="false" customHeight="false" outlineLevel="0" collapsed="false">
      <c r="A18" s="3"/>
    </row>
    <row r="19" customFormat="false" ht="15" hidden="false" customHeight="false" outlineLevel="0" collapsed="false">
      <c r="A19" s="4" t="s">
        <v>12</v>
      </c>
    </row>
    <row r="20" customFormat="false" ht="23.85" hidden="false" customHeight="false" outlineLevel="0" collapsed="false">
      <c r="A20" s="3"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8"/>
    <col collapsed="false" customWidth="true" hidden="false" outlineLevel="0" max="8" min="3" style="0" width="11"/>
    <col collapsed="false" customWidth="true" hidden="false" outlineLevel="0" max="9" min="9" style="0" width="2"/>
    <col collapsed="false" customWidth="true" hidden="false" outlineLevel="0" max="14" min="10" style="0" width="11"/>
  </cols>
  <sheetData>
    <row r="1" customFormat="false" ht="17.35" hidden="false" customHeight="false" outlineLevel="0" collapsed="false">
      <c r="A1" s="5" t="s">
        <v>14</v>
      </c>
      <c r="B1" s="5"/>
      <c r="C1" s="5"/>
      <c r="D1" s="5"/>
      <c r="E1" s="5"/>
      <c r="F1" s="5"/>
      <c r="G1" s="5"/>
      <c r="H1" s="5"/>
      <c r="I1" s="5"/>
      <c r="J1" s="5"/>
      <c r="K1" s="5"/>
      <c r="L1" s="5"/>
      <c r="M1" s="5"/>
      <c r="N1" s="5"/>
    </row>
    <row r="2" customFormat="false" ht="15" hidden="false" customHeight="false" outlineLevel="0" collapsed="false">
      <c r="A2" s="6" t="s">
        <v>15</v>
      </c>
      <c r="B2" s="6"/>
      <c r="C2" s="6"/>
      <c r="D2" s="6"/>
      <c r="E2" s="6"/>
      <c r="F2" s="6"/>
      <c r="G2" s="6"/>
      <c r="H2" s="6"/>
      <c r="I2" s="6"/>
      <c r="J2" s="6"/>
      <c r="K2" s="6"/>
      <c r="L2" s="6"/>
      <c r="M2" s="6"/>
      <c r="N2" s="6"/>
    </row>
    <row r="3" customFormat="false" ht="15" hidden="false" customHeight="false" outlineLevel="0" collapsed="false">
      <c r="A3" s="7" t="s">
        <v>16</v>
      </c>
      <c r="B3" s="7"/>
      <c r="C3" s="7"/>
      <c r="D3" s="7"/>
      <c r="E3" s="7"/>
      <c r="F3" s="7"/>
      <c r="G3" s="7"/>
      <c r="H3" s="7"/>
      <c r="I3" s="7"/>
      <c r="J3" s="7"/>
      <c r="K3" s="7"/>
      <c r="L3" s="7"/>
      <c r="M3" s="7"/>
      <c r="N3" s="7"/>
    </row>
    <row r="4" customFormat="false" ht="15" hidden="false" customHeight="false" outlineLevel="0" collapsed="false">
      <c r="A4" s="8" t="s">
        <v>17</v>
      </c>
      <c r="B4" s="8"/>
      <c r="C4" s="8"/>
      <c r="D4" s="8"/>
      <c r="E4" s="8"/>
      <c r="F4" s="8"/>
      <c r="G4" s="8"/>
      <c r="H4" s="8"/>
      <c r="I4" s="8"/>
      <c r="J4" s="8"/>
      <c r="K4" s="8"/>
      <c r="L4" s="8"/>
      <c r="M4" s="8"/>
      <c r="N4" s="8"/>
    </row>
    <row r="6" customFormat="false" ht="15" hidden="false" customHeight="false" outlineLevel="0" collapsed="false">
      <c r="C6" s="9" t="s">
        <v>18</v>
      </c>
      <c r="D6" s="9"/>
      <c r="E6" s="9"/>
      <c r="F6" s="9"/>
      <c r="G6" s="9"/>
      <c r="H6" s="9"/>
      <c r="J6" s="9" t="s">
        <v>19</v>
      </c>
      <c r="K6" s="9"/>
      <c r="L6" s="9"/>
      <c r="M6" s="9"/>
      <c r="N6" s="9"/>
    </row>
    <row r="7" customFormat="false" ht="23.85" hidden="false" customHeight="false" outlineLevel="0" collapsed="false">
      <c r="A7" s="10" t="s">
        <v>20</v>
      </c>
      <c r="B7" s="10" t="s">
        <v>21</v>
      </c>
      <c r="C7" s="10" t="s">
        <v>22</v>
      </c>
      <c r="D7" s="10" t="s">
        <v>23</v>
      </c>
      <c r="E7" s="10" t="s">
        <v>24</v>
      </c>
      <c r="F7" s="10" t="s">
        <v>25</v>
      </c>
      <c r="G7" s="10" t="s">
        <v>26</v>
      </c>
      <c r="H7" s="10" t="s">
        <v>27</v>
      </c>
      <c r="J7" s="10" t="s">
        <v>28</v>
      </c>
      <c r="K7" s="10" t="s">
        <v>29</v>
      </c>
      <c r="L7" s="10" t="s">
        <v>24</v>
      </c>
      <c r="M7" s="10" t="s">
        <v>25</v>
      </c>
      <c r="N7" s="10" t="s">
        <v>30</v>
      </c>
    </row>
    <row r="8" customFormat="false" ht="15" hidden="false" customHeight="false" outlineLevel="0" collapsed="false">
      <c r="A8" s="11"/>
      <c r="B8" s="12" t="s">
        <v>31</v>
      </c>
      <c r="C8" s="11"/>
      <c r="D8" s="11"/>
      <c r="E8" s="11"/>
      <c r="F8" s="11"/>
      <c r="G8" s="11"/>
      <c r="H8" s="11"/>
      <c r="I8" s="11"/>
      <c r="J8" s="11"/>
      <c r="K8" s="11"/>
      <c r="L8" s="11"/>
      <c r="M8" s="11"/>
      <c r="N8" s="11"/>
    </row>
    <row r="9" customFormat="false" ht="15" hidden="false" customHeight="false" outlineLevel="0" collapsed="false">
      <c r="A9" s="13" t="n">
        <v>4010</v>
      </c>
      <c r="B9" s="13" t="s">
        <v>32</v>
      </c>
      <c r="C9" s="14" t="n">
        <v>1309</v>
      </c>
      <c r="D9" s="15" t="n">
        <f aca="false">'Monthly Detail'!K8</f>
        <v>1352</v>
      </c>
      <c r="E9" s="16" t="n">
        <f aca="false">D9-C9</f>
        <v>43</v>
      </c>
      <c r="F9" s="17" t="n">
        <f aca="false">IF(C9=0,0,E9/ABS(C9))</f>
        <v>0.0328495034377387</v>
      </c>
      <c r="G9" s="15" t="n">
        <f aca="false">'Monthly Detail'!J8</f>
        <v>1599</v>
      </c>
      <c r="H9" s="14" t="n">
        <v>1221</v>
      </c>
      <c r="J9" s="14" t="n">
        <v>11641</v>
      </c>
      <c r="K9" s="15" t="n">
        <f aca="false">'Monthly Detail'!L8</f>
        <v>12053</v>
      </c>
      <c r="L9" s="16" t="n">
        <f aca="false">K9-J9</f>
        <v>412</v>
      </c>
      <c r="M9" s="17" t="n">
        <f aca="false">IF(J9=0,0,L9/ABS(J9))</f>
        <v>0.0353921484408556</v>
      </c>
      <c r="N9" s="14" t="n">
        <v>10856</v>
      </c>
    </row>
    <row r="10" customFormat="false" ht="15" hidden="false" customHeight="false" outlineLevel="0" collapsed="false">
      <c r="A10" s="13" t="n">
        <v>4020</v>
      </c>
      <c r="B10" s="13" t="s">
        <v>33</v>
      </c>
      <c r="C10" s="14" t="n">
        <v>748</v>
      </c>
      <c r="D10" s="15" t="n">
        <f aca="false">'Monthly Detail'!K9</f>
        <v>777</v>
      </c>
      <c r="E10" s="16" t="n">
        <f aca="false">D10-C10</f>
        <v>29</v>
      </c>
      <c r="F10" s="17" t="n">
        <f aca="false">IF(C10=0,0,E10/ABS(C10))</f>
        <v>0.0387700534759358</v>
      </c>
      <c r="G10" s="15" t="n">
        <f aca="false">'Monthly Detail'!J9</f>
        <v>933</v>
      </c>
      <c r="H10" s="14" t="n">
        <v>698</v>
      </c>
      <c r="J10" s="14" t="n">
        <v>6652</v>
      </c>
      <c r="K10" s="15" t="n">
        <f aca="false">'Monthly Detail'!L9</f>
        <v>6908</v>
      </c>
      <c r="L10" s="16" t="n">
        <f aca="false">K10-J10</f>
        <v>256</v>
      </c>
      <c r="M10" s="17" t="n">
        <f aca="false">IF(J10=0,0,L10/ABS(J10))</f>
        <v>0.0384846662657847</v>
      </c>
      <c r="N10" s="14" t="n">
        <v>6204</v>
      </c>
    </row>
    <row r="11" customFormat="false" ht="15" hidden="false" customHeight="false" outlineLevel="0" collapsed="false">
      <c r="A11" s="13" t="n">
        <v>4110</v>
      </c>
      <c r="B11" s="13" t="s">
        <v>34</v>
      </c>
      <c r="C11" s="14" t="n">
        <v>546</v>
      </c>
      <c r="D11" s="15" t="n">
        <f aca="false">'Monthly Detail'!K10</f>
        <v>566</v>
      </c>
      <c r="E11" s="16" t="n">
        <f aca="false">D11-C11</f>
        <v>20</v>
      </c>
      <c r="F11" s="17" t="n">
        <f aca="false">IF(C11=0,0,E11/ABS(C11))</f>
        <v>0.0366300366300366</v>
      </c>
      <c r="G11" s="15" t="n">
        <f aca="false">'Monthly Detail'!J10</f>
        <v>619</v>
      </c>
      <c r="H11" s="14" t="n">
        <v>509</v>
      </c>
      <c r="J11" s="14" t="n">
        <v>4883</v>
      </c>
      <c r="K11" s="15" t="n">
        <f aca="false">'Monthly Detail'!L10</f>
        <v>5077</v>
      </c>
      <c r="L11" s="16" t="n">
        <f aca="false">K11-J11</f>
        <v>194</v>
      </c>
      <c r="M11" s="17" t="n">
        <f aca="false">IF(J11=0,0,L11/ABS(J11))</f>
        <v>0.0397296743805038</v>
      </c>
      <c r="N11" s="14" t="n">
        <v>4554</v>
      </c>
    </row>
    <row r="12" customFormat="false" ht="15" hidden="false" customHeight="false" outlineLevel="0" collapsed="false">
      <c r="A12" s="13" t="n">
        <v>4120</v>
      </c>
      <c r="B12" s="13" t="s">
        <v>35</v>
      </c>
      <c r="C12" s="14" t="n">
        <v>321</v>
      </c>
      <c r="D12" s="15" t="n">
        <f aca="false">'Monthly Detail'!K11</f>
        <v>329</v>
      </c>
      <c r="E12" s="16" t="n">
        <f aca="false">D12-C12</f>
        <v>8</v>
      </c>
      <c r="F12" s="17" t="n">
        <f aca="false">IF(C12=0,0,E12/ABS(C12))</f>
        <v>0.0249221183800623</v>
      </c>
      <c r="G12" s="15" t="n">
        <f aca="false">'Monthly Detail'!J11</f>
        <v>358</v>
      </c>
      <c r="H12" s="14" t="n">
        <v>299</v>
      </c>
      <c r="J12" s="14" t="n">
        <v>2874</v>
      </c>
      <c r="K12" s="15" t="n">
        <f aca="false">'Monthly Detail'!L11</f>
        <v>2978</v>
      </c>
      <c r="L12" s="16" t="n">
        <f aca="false">K12-J12</f>
        <v>104</v>
      </c>
      <c r="M12" s="17" t="n">
        <f aca="false">IF(J12=0,0,L12/ABS(J12))</f>
        <v>0.0361864996520529</v>
      </c>
      <c r="N12" s="14" t="n">
        <v>2681</v>
      </c>
    </row>
    <row r="13" customFormat="false" ht="15" hidden="false" customHeight="false" outlineLevel="0" collapsed="false">
      <c r="A13" s="13" t="n">
        <v>4210</v>
      </c>
      <c r="B13" s="13" t="s">
        <v>36</v>
      </c>
      <c r="C13" s="14" t="n">
        <v>335</v>
      </c>
      <c r="D13" s="15" t="n">
        <f aca="false">'Monthly Detail'!K12</f>
        <v>328</v>
      </c>
      <c r="E13" s="16" t="n">
        <f aca="false">D13-C13</f>
        <v>-7</v>
      </c>
      <c r="F13" s="17" t="n">
        <f aca="false">IF(C13=0,0,E13/ABS(C13))</f>
        <v>-0.0208955223880597</v>
      </c>
      <c r="G13" s="15" t="n">
        <f aca="false">'Monthly Detail'!J12</f>
        <v>327</v>
      </c>
      <c r="H13" s="14" t="n">
        <v>292</v>
      </c>
      <c r="J13" s="14" t="n">
        <v>2870</v>
      </c>
      <c r="K13" s="15" t="n">
        <f aca="false">'Monthly Detail'!L12</f>
        <v>2858</v>
      </c>
      <c r="L13" s="16" t="n">
        <f aca="false">K13-J13</f>
        <v>-12</v>
      </c>
      <c r="M13" s="17" t="n">
        <f aca="false">IF(J13=0,0,L13/ABS(J13))</f>
        <v>-0.00418118466898955</v>
      </c>
      <c r="N13" s="14" t="n">
        <v>2600</v>
      </c>
    </row>
    <row r="14" customFormat="false" ht="15" hidden="false" customHeight="false" outlineLevel="0" collapsed="false">
      <c r="A14" s="13" t="n">
        <v>4900</v>
      </c>
      <c r="B14" s="13" t="s">
        <v>37</v>
      </c>
      <c r="C14" s="14" t="n">
        <v>-52</v>
      </c>
      <c r="D14" s="15" t="n">
        <f aca="false">'Monthly Detail'!K13</f>
        <v>-54</v>
      </c>
      <c r="E14" s="16" t="n">
        <f aca="false">D14-C14</f>
        <v>-2</v>
      </c>
      <c r="F14" s="17" t="n">
        <f aca="false">IF(C14=0,0,E14/ABS(C14))</f>
        <v>-0.0384615384615385</v>
      </c>
      <c r="G14" s="15" t="n">
        <f aca="false">'Monthly Detail'!J13</f>
        <v>-61</v>
      </c>
      <c r="H14" s="14" t="n">
        <v>-48</v>
      </c>
      <c r="J14" s="14" t="n">
        <v>-462</v>
      </c>
      <c r="K14" s="15" t="n">
        <f aca="false">'Monthly Detail'!L13</f>
        <v>-478</v>
      </c>
      <c r="L14" s="16" t="n">
        <f aca="false">K14-J14</f>
        <v>-16</v>
      </c>
      <c r="M14" s="17" t="n">
        <f aca="false">IF(J14=0,0,L14/ABS(J14))</f>
        <v>-0.0346320346320346</v>
      </c>
      <c r="N14" s="14" t="n">
        <v>-431</v>
      </c>
    </row>
    <row r="15" customFormat="false" ht="15" hidden="false" customHeight="false" outlineLevel="0" collapsed="false">
      <c r="B15" s="18" t="s">
        <v>38</v>
      </c>
      <c r="C15" s="19" t="n">
        <f aca="false">SUM(C9:C14)</f>
        <v>3207</v>
      </c>
      <c r="D15" s="19" t="n">
        <f aca="false">SUM(D9:D14)</f>
        <v>3298</v>
      </c>
      <c r="E15" s="20" t="n">
        <f aca="false">D15-C15</f>
        <v>91</v>
      </c>
      <c r="F15" s="21" t="n">
        <f aca="false">IF(C15=0,0,E15/ABS(C15))</f>
        <v>0.0283754287496102</v>
      </c>
      <c r="G15" s="19" t="n">
        <f aca="false">SUM(G9:G14)</f>
        <v>3775</v>
      </c>
      <c r="H15" s="19" t="n">
        <f aca="false">SUM(H9:H14)</f>
        <v>2971</v>
      </c>
      <c r="J15" s="19" t="n">
        <f aca="false">SUM(J9:J14)</f>
        <v>28458</v>
      </c>
      <c r="K15" s="19" t="n">
        <f aca="false">SUM(K9:K14)</f>
        <v>29396</v>
      </c>
      <c r="L15" s="20" t="n">
        <f aca="false">K15-J15</f>
        <v>938</v>
      </c>
      <c r="M15" s="21" t="n">
        <f aca="false">IF(J15=0,0,L15/ABS(J15))</f>
        <v>0.0329608545927332</v>
      </c>
      <c r="N15" s="19" t="n">
        <f aca="false">SUM(N9:N14)</f>
        <v>26464</v>
      </c>
    </row>
    <row r="17" customFormat="false" ht="15" hidden="false" customHeight="false" outlineLevel="0" collapsed="false">
      <c r="A17" s="11"/>
      <c r="B17" s="12" t="s">
        <v>39</v>
      </c>
      <c r="C17" s="11"/>
      <c r="D17" s="11"/>
      <c r="E17" s="11"/>
      <c r="F17" s="11"/>
      <c r="G17" s="11"/>
      <c r="H17" s="11"/>
      <c r="I17" s="11"/>
      <c r="J17" s="11"/>
      <c r="K17" s="11"/>
      <c r="L17" s="11"/>
      <c r="M17" s="11"/>
      <c r="N17" s="11"/>
    </row>
    <row r="18" customFormat="false" ht="15" hidden="false" customHeight="false" outlineLevel="0" collapsed="false">
      <c r="A18" s="13" t="n">
        <v>5010</v>
      </c>
      <c r="B18" s="13" t="s">
        <v>40</v>
      </c>
      <c r="C18" s="14" t="n">
        <v>652</v>
      </c>
      <c r="D18" s="15" t="n">
        <f aca="false">'Monthly Detail'!K17</f>
        <v>670</v>
      </c>
      <c r="E18" s="16" t="n">
        <f aca="false">C18-D18</f>
        <v>-18</v>
      </c>
      <c r="F18" s="17" t="n">
        <f aca="false">IF(C18=0,0,E18/ABS(C18))</f>
        <v>-0.0276073619631902</v>
      </c>
      <c r="G18" s="15" t="n">
        <f aca="false">'Monthly Detail'!J17</f>
        <v>767</v>
      </c>
      <c r="H18" s="14" t="n">
        <v>604</v>
      </c>
      <c r="J18" s="14" t="n">
        <v>5785</v>
      </c>
      <c r="K18" s="15" t="n">
        <f aca="false">'Monthly Detail'!L17</f>
        <v>5973</v>
      </c>
      <c r="L18" s="16" t="n">
        <f aca="false">J18-K18</f>
        <v>-188</v>
      </c>
      <c r="M18" s="17" t="n">
        <f aca="false">IF(J18=0,0,L18/ABS(J18))</f>
        <v>-0.0324978392394123</v>
      </c>
      <c r="N18" s="14" t="n">
        <v>5379</v>
      </c>
    </row>
    <row r="19" customFormat="false" ht="15" hidden="false" customHeight="false" outlineLevel="0" collapsed="false">
      <c r="A19" s="13" t="n">
        <v>5020</v>
      </c>
      <c r="B19" s="13" t="s">
        <v>41</v>
      </c>
      <c r="C19" s="14" t="n">
        <v>65</v>
      </c>
      <c r="D19" s="15" t="n">
        <f aca="false">'Monthly Detail'!K18</f>
        <v>164</v>
      </c>
      <c r="E19" s="16" t="n">
        <f aca="false">C19-D19</f>
        <v>-99</v>
      </c>
      <c r="F19" s="17" t="n">
        <f aca="false">IF(C19=0,0,E19/ABS(C19))</f>
        <v>-1.52307692307692</v>
      </c>
      <c r="G19" s="15" t="n">
        <f aca="false">'Monthly Detail'!J18</f>
        <v>176</v>
      </c>
      <c r="H19" s="14" t="n">
        <v>51</v>
      </c>
      <c r="J19" s="14" t="n">
        <v>578</v>
      </c>
      <c r="K19" s="15" t="n">
        <f aca="false">'Monthly Detail'!L18</f>
        <v>962</v>
      </c>
      <c r="L19" s="16" t="n">
        <f aca="false">J19-K19</f>
        <v>-384</v>
      </c>
      <c r="M19" s="17" t="n">
        <f aca="false">IF(J19=0,0,L19/ABS(J19))</f>
        <v>-0.664359861591696</v>
      </c>
      <c r="N19" s="14" t="n">
        <v>457</v>
      </c>
    </row>
    <row r="20" customFormat="false" ht="15" hidden="false" customHeight="false" outlineLevel="0" collapsed="false">
      <c r="A20" s="13" t="n">
        <v>5030</v>
      </c>
      <c r="B20" s="13" t="s">
        <v>42</v>
      </c>
      <c r="C20" s="14" t="n">
        <v>151</v>
      </c>
      <c r="D20" s="15" t="n">
        <f aca="false">'Monthly Detail'!K19</f>
        <v>175</v>
      </c>
      <c r="E20" s="16" t="n">
        <f aca="false">C20-D20</f>
        <v>-24</v>
      </c>
      <c r="F20" s="17" t="n">
        <f aca="false">IF(C20=0,0,E20/ABS(C20))</f>
        <v>-0.158940397350993</v>
      </c>
      <c r="G20" s="15" t="n">
        <f aca="false">'Monthly Detail'!J19</f>
        <v>198</v>
      </c>
      <c r="H20" s="14" t="n">
        <v>138</v>
      </c>
      <c r="J20" s="14" t="n">
        <v>1338</v>
      </c>
      <c r="K20" s="15" t="n">
        <f aca="false">'Monthly Detail'!L19</f>
        <v>1456</v>
      </c>
      <c r="L20" s="16" t="n">
        <f aca="false">J20-K20</f>
        <v>-118</v>
      </c>
      <c r="M20" s="17" t="n">
        <f aca="false">IF(J20=0,0,L20/ABS(J20))</f>
        <v>-0.0881913303437967</v>
      </c>
      <c r="N20" s="14" t="n">
        <v>1226</v>
      </c>
    </row>
    <row r="21" customFormat="false" ht="15" hidden="false" customHeight="false" outlineLevel="0" collapsed="false">
      <c r="A21" s="13" t="n">
        <v>5110</v>
      </c>
      <c r="B21" s="13" t="s">
        <v>43</v>
      </c>
      <c r="C21" s="14" t="n">
        <v>412</v>
      </c>
      <c r="D21" s="15" t="n">
        <f aca="false">'Monthly Detail'!K20</f>
        <v>495</v>
      </c>
      <c r="E21" s="16" t="n">
        <f aca="false">C21-D21</f>
        <v>-83</v>
      </c>
      <c r="F21" s="17" t="n">
        <f aca="false">IF(C21=0,0,E21/ABS(C21))</f>
        <v>-0.201456310679612</v>
      </c>
      <c r="G21" s="15" t="n">
        <f aca="false">'Monthly Detail'!J20</f>
        <v>576</v>
      </c>
      <c r="H21" s="14" t="n">
        <v>385</v>
      </c>
      <c r="J21" s="14" t="n">
        <v>3665</v>
      </c>
      <c r="K21" s="15" t="n">
        <f aca="false">'Monthly Detail'!L20</f>
        <v>4144</v>
      </c>
      <c r="L21" s="16" t="n">
        <f aca="false">J21-K21</f>
        <v>-479</v>
      </c>
      <c r="M21" s="17" t="n">
        <f aca="false">IF(J21=0,0,L21/ABS(J21))</f>
        <v>-0.130695770804911</v>
      </c>
      <c r="N21" s="14" t="n">
        <v>3420</v>
      </c>
    </row>
    <row r="22" customFormat="false" ht="15" hidden="false" customHeight="false" outlineLevel="0" collapsed="false">
      <c r="A22" s="13" t="n">
        <v>5120</v>
      </c>
      <c r="B22" s="13" t="s">
        <v>44</v>
      </c>
      <c r="C22" s="14" t="n">
        <v>197</v>
      </c>
      <c r="D22" s="15" t="n">
        <f aca="false">'Monthly Detail'!K21</f>
        <v>203</v>
      </c>
      <c r="E22" s="16" t="n">
        <f aca="false">C22-D22</f>
        <v>-6</v>
      </c>
      <c r="F22" s="17" t="n">
        <f aca="false">IF(C22=0,0,E22/ABS(C22))</f>
        <v>-0.0304568527918782</v>
      </c>
      <c r="G22" s="15" t="n">
        <f aca="false">'Monthly Detail'!J21</f>
        <v>229</v>
      </c>
      <c r="H22" s="14" t="n">
        <v>183</v>
      </c>
      <c r="J22" s="14" t="n">
        <v>1757</v>
      </c>
      <c r="K22" s="15" t="n">
        <f aca="false">'Monthly Detail'!L21</f>
        <v>1822</v>
      </c>
      <c r="L22" s="16" t="n">
        <f aca="false">J22-K22</f>
        <v>-65</v>
      </c>
      <c r="M22" s="17" t="n">
        <f aca="false">IF(J22=0,0,L22/ABS(J22))</f>
        <v>-0.0369948776323278</v>
      </c>
      <c r="N22" s="14" t="n">
        <v>1638</v>
      </c>
    </row>
    <row r="23" customFormat="false" ht="15" hidden="false" customHeight="false" outlineLevel="0" collapsed="false">
      <c r="A23" s="13" t="n">
        <v>5210</v>
      </c>
      <c r="B23" s="13" t="s">
        <v>45</v>
      </c>
      <c r="C23" s="14" t="n">
        <v>39</v>
      </c>
      <c r="D23" s="15" t="n">
        <f aca="false">'Monthly Detail'!K22</f>
        <v>41</v>
      </c>
      <c r="E23" s="16" t="n">
        <f aca="false">C23-D23</f>
        <v>-2</v>
      </c>
      <c r="F23" s="17" t="n">
        <f aca="false">IF(C23=0,0,E23/ABS(C23))</f>
        <v>-0.0512820512820513</v>
      </c>
      <c r="G23" s="15" t="n">
        <f aca="false">'Monthly Detail'!J22</f>
        <v>48</v>
      </c>
      <c r="H23" s="14" t="n">
        <v>37</v>
      </c>
      <c r="J23" s="14" t="n">
        <v>349</v>
      </c>
      <c r="K23" s="15" t="n">
        <f aca="false">'Monthly Detail'!L22</f>
        <v>362</v>
      </c>
      <c r="L23" s="16" t="n">
        <f aca="false">J23-K23</f>
        <v>-13</v>
      </c>
      <c r="M23" s="17" t="n">
        <f aca="false">IF(J23=0,0,L23/ABS(J23))</f>
        <v>-0.0372492836676218</v>
      </c>
      <c r="N23" s="14" t="n">
        <v>326</v>
      </c>
    </row>
    <row r="24" customFormat="false" ht="15" hidden="false" customHeight="false" outlineLevel="0" collapsed="false">
      <c r="A24" s="13" t="n">
        <v>5310</v>
      </c>
      <c r="B24" s="13" t="s">
        <v>46</v>
      </c>
      <c r="C24" s="14" t="n">
        <v>114</v>
      </c>
      <c r="D24" s="15" t="n">
        <f aca="false">'Monthly Detail'!K23</f>
        <v>117</v>
      </c>
      <c r="E24" s="16" t="n">
        <f aca="false">C24-D24</f>
        <v>-3</v>
      </c>
      <c r="F24" s="17" t="n">
        <f aca="false">IF(C24=0,0,E24/ABS(C24))</f>
        <v>-0.0263157894736842</v>
      </c>
      <c r="G24" s="15" t="n">
        <f aca="false">'Monthly Detail'!J23</f>
        <v>134</v>
      </c>
      <c r="H24" s="14" t="n">
        <v>106</v>
      </c>
      <c r="J24" s="14" t="n">
        <v>1013</v>
      </c>
      <c r="K24" s="15" t="n">
        <f aca="false">'Monthly Detail'!L23</f>
        <v>1044</v>
      </c>
      <c r="L24" s="16" t="n">
        <f aca="false">J24-K24</f>
        <v>-31</v>
      </c>
      <c r="M24" s="17" t="n">
        <f aca="false">IF(J24=0,0,L24/ABS(J24))</f>
        <v>-0.0306021717670286</v>
      </c>
      <c r="N24" s="14" t="n">
        <v>941</v>
      </c>
    </row>
    <row r="25" customFormat="false" ht="15" hidden="false" customHeight="false" outlineLevel="0" collapsed="false">
      <c r="B25" s="18" t="s">
        <v>47</v>
      </c>
      <c r="C25" s="19" t="n">
        <f aca="false">SUM(C18:C24)</f>
        <v>1630</v>
      </c>
      <c r="D25" s="19" t="n">
        <f aca="false">SUM(D18:D24)</f>
        <v>1865</v>
      </c>
      <c r="E25" s="20" t="n">
        <f aca="false">C25-D25</f>
        <v>-235</v>
      </c>
      <c r="F25" s="21" t="n">
        <f aca="false">IF(C25=0,0,E25/ABS(C25))</f>
        <v>-0.144171779141104</v>
      </c>
      <c r="G25" s="19" t="n">
        <f aca="false">SUM(G18:G24)</f>
        <v>2128</v>
      </c>
      <c r="H25" s="19" t="n">
        <f aca="false">SUM(H18:H24)</f>
        <v>1504</v>
      </c>
      <c r="J25" s="19" t="n">
        <f aca="false">SUM(J18:J24)</f>
        <v>14485</v>
      </c>
      <c r="K25" s="19" t="n">
        <f aca="false">SUM(K18:K24)</f>
        <v>15763</v>
      </c>
      <c r="L25" s="20" t="n">
        <f aca="false">J25-K25</f>
        <v>-1278</v>
      </c>
      <c r="M25" s="21" t="n">
        <f aca="false">IF(J25=0,0,L25/ABS(J25))</f>
        <v>-0.0882292026234035</v>
      </c>
      <c r="N25" s="19" t="n">
        <f aca="false">SUM(N18:N24)</f>
        <v>13387</v>
      </c>
    </row>
    <row r="26" customFormat="false" ht="15" hidden="false" customHeight="false" outlineLevel="0" collapsed="false">
      <c r="B26" s="18" t="s">
        <v>48</v>
      </c>
      <c r="C26" s="19" t="n">
        <f aca="false">C15-C25</f>
        <v>1577</v>
      </c>
      <c r="D26" s="19" t="n">
        <f aca="false">D15-D25</f>
        <v>1433</v>
      </c>
      <c r="E26" s="20" t="n">
        <f aca="false">D26-C26</f>
        <v>-144</v>
      </c>
      <c r="F26" s="21" t="n">
        <f aca="false">IF(C26=0,0,E26/ABS(C26))</f>
        <v>-0.0913126188966392</v>
      </c>
      <c r="G26" s="19" t="n">
        <f aca="false">G15-G25</f>
        <v>1647</v>
      </c>
      <c r="H26" s="19" t="n">
        <f aca="false">H15-H25</f>
        <v>1467</v>
      </c>
      <c r="J26" s="19" t="n">
        <f aca="false">J15-J25</f>
        <v>13973</v>
      </c>
      <c r="K26" s="19" t="n">
        <f aca="false">K15-K25</f>
        <v>13633</v>
      </c>
      <c r="L26" s="20" t="n">
        <f aca="false">K26-J26</f>
        <v>-340</v>
      </c>
      <c r="M26" s="21" t="n">
        <f aca="false">IF(J26=0,0,L26/ABS(J26))</f>
        <v>-0.0243326415229371</v>
      </c>
      <c r="N26" s="19" t="n">
        <f aca="false">N15-N25</f>
        <v>13077</v>
      </c>
    </row>
    <row r="27" customFormat="false" ht="15" hidden="false" customHeight="false" outlineLevel="0" collapsed="false">
      <c r="B27" s="18" t="s">
        <v>49</v>
      </c>
      <c r="C27" s="22" t="n">
        <f aca="false">IF(C15=0,0,C26/C15)</f>
        <v>0.491736825693795</v>
      </c>
      <c r="D27" s="22" t="n">
        <f aca="false">IF(D15=0,0,D26/D15)</f>
        <v>0.434505761067314</v>
      </c>
      <c r="G27" s="22" t="n">
        <f aca="false">IF(G15=0,0,G26/G15)</f>
        <v>0.436291390728477</v>
      </c>
      <c r="H27" s="22" t="n">
        <f aca="false">IF(H15=0,0,H26/H15)</f>
        <v>0.493773140356782</v>
      </c>
      <c r="J27" s="22" t="n">
        <f aca="false">IF(J15=0,0,J26/J15)</f>
        <v>0.491004287019467</v>
      </c>
      <c r="K27" s="22" t="n">
        <f aca="false">IF(K15=0,0,K26/K15)</f>
        <v>0.463770581031433</v>
      </c>
      <c r="N27" s="22" t="n">
        <f aca="false">IF(N15=0,0,N26/N15)</f>
        <v>0.494142986698912</v>
      </c>
    </row>
    <row r="29" customFormat="false" ht="15" hidden="false" customHeight="false" outlineLevel="0" collapsed="false">
      <c r="A29" s="11"/>
      <c r="B29" s="12" t="s">
        <v>50</v>
      </c>
      <c r="C29" s="11"/>
      <c r="D29" s="11"/>
      <c r="E29" s="11"/>
      <c r="F29" s="11"/>
      <c r="G29" s="11"/>
      <c r="H29" s="11"/>
      <c r="I29" s="11"/>
      <c r="J29" s="11"/>
      <c r="K29" s="11"/>
      <c r="L29" s="11"/>
      <c r="M29" s="11"/>
      <c r="N29" s="11"/>
    </row>
    <row r="30" customFormat="false" ht="15" hidden="false" customHeight="false" outlineLevel="0" collapsed="false">
      <c r="A30" s="13" t="n">
        <v>6010</v>
      </c>
      <c r="B30" s="13" t="s">
        <v>51</v>
      </c>
      <c r="C30" s="14" t="n">
        <v>212</v>
      </c>
      <c r="D30" s="15" t="n">
        <f aca="false">'Monthly Detail'!K29</f>
        <v>212</v>
      </c>
      <c r="E30" s="16" t="n">
        <f aca="false">C30-D30</f>
        <v>0</v>
      </c>
      <c r="F30" s="17" t="n">
        <f aca="false">IF(C30=0,0,E30/ABS(C30))</f>
        <v>0</v>
      </c>
      <c r="G30" s="15" t="n">
        <f aca="false">'Monthly Detail'!J29</f>
        <v>212</v>
      </c>
      <c r="H30" s="14" t="n">
        <v>212</v>
      </c>
      <c r="J30" s="14" t="n">
        <v>1908</v>
      </c>
      <c r="K30" s="15" t="n">
        <f aca="false">'Monthly Detail'!L29</f>
        <v>1908</v>
      </c>
      <c r="L30" s="16" t="n">
        <f aca="false">J30-K30</f>
        <v>0</v>
      </c>
      <c r="M30" s="17" t="n">
        <f aca="false">IF(J30=0,0,L30/ABS(J30))</f>
        <v>0</v>
      </c>
      <c r="N30" s="14" t="n">
        <v>1908</v>
      </c>
    </row>
    <row r="31" customFormat="false" ht="15" hidden="false" customHeight="false" outlineLevel="0" collapsed="false">
      <c r="A31" s="13" t="n">
        <v>6020</v>
      </c>
      <c r="B31" s="13" t="s">
        <v>52</v>
      </c>
      <c r="C31" s="14" t="n">
        <v>160</v>
      </c>
      <c r="D31" s="15" t="n">
        <f aca="false">'Monthly Detail'!K30</f>
        <v>160</v>
      </c>
      <c r="E31" s="16" t="n">
        <f aca="false">C31-D31</f>
        <v>0</v>
      </c>
      <c r="F31" s="17" t="n">
        <f aca="false">IF(C31=0,0,E31/ABS(C31))</f>
        <v>0</v>
      </c>
      <c r="G31" s="15" t="n">
        <f aca="false">'Monthly Detail'!J30</f>
        <v>160</v>
      </c>
      <c r="H31" s="14" t="n">
        <v>160</v>
      </c>
      <c r="J31" s="14" t="n">
        <v>1440</v>
      </c>
      <c r="K31" s="15" t="n">
        <f aca="false">'Monthly Detail'!L30</f>
        <v>1440</v>
      </c>
      <c r="L31" s="16" t="n">
        <f aca="false">J31-K31</f>
        <v>0</v>
      </c>
      <c r="M31" s="17" t="n">
        <f aca="false">IF(J31=0,0,L31/ABS(J31))</f>
        <v>0</v>
      </c>
      <c r="N31" s="14" t="n">
        <v>1440</v>
      </c>
    </row>
    <row r="32" customFormat="false" ht="15" hidden="false" customHeight="false" outlineLevel="0" collapsed="false">
      <c r="A32" s="13" t="n">
        <v>6030</v>
      </c>
      <c r="B32" s="13" t="s">
        <v>53</v>
      </c>
      <c r="C32" s="14" t="n">
        <v>74</v>
      </c>
      <c r="D32" s="15" t="n">
        <f aca="false">'Monthly Detail'!K31</f>
        <v>74</v>
      </c>
      <c r="E32" s="16" t="n">
        <f aca="false">C32-D32</f>
        <v>0</v>
      </c>
      <c r="F32" s="17" t="n">
        <f aca="false">IF(C32=0,0,E32/ABS(C32))</f>
        <v>0</v>
      </c>
      <c r="G32" s="15" t="n">
        <f aca="false">'Monthly Detail'!J31</f>
        <v>74</v>
      </c>
      <c r="H32" s="14" t="n">
        <v>74</v>
      </c>
      <c r="J32" s="14" t="n">
        <v>666</v>
      </c>
      <c r="K32" s="15" t="n">
        <f aca="false">'Monthly Detail'!L31</f>
        <v>666</v>
      </c>
      <c r="L32" s="16" t="n">
        <f aca="false">J32-K32</f>
        <v>0</v>
      </c>
      <c r="M32" s="17" t="n">
        <f aca="false">IF(J32=0,0,L32/ABS(J32))</f>
        <v>0</v>
      </c>
      <c r="N32" s="14" t="n">
        <v>666</v>
      </c>
    </row>
    <row r="33" customFormat="false" ht="15" hidden="false" customHeight="false" outlineLevel="0" collapsed="false">
      <c r="A33" s="13" t="n">
        <v>6110</v>
      </c>
      <c r="B33" s="13" t="s">
        <v>54</v>
      </c>
      <c r="C33" s="14" t="n">
        <v>189</v>
      </c>
      <c r="D33" s="15" t="n">
        <f aca="false">'Monthly Detail'!K32</f>
        <v>194</v>
      </c>
      <c r="E33" s="16" t="n">
        <f aca="false">C33-D33</f>
        <v>-5</v>
      </c>
      <c r="F33" s="17" t="n">
        <f aca="false">IF(C33=0,0,E33/ABS(C33))</f>
        <v>-0.0264550264550265</v>
      </c>
      <c r="G33" s="15" t="n">
        <f aca="false">'Monthly Detail'!J32</f>
        <v>223</v>
      </c>
      <c r="H33" s="14" t="n">
        <v>175</v>
      </c>
      <c r="J33" s="14" t="n">
        <v>1678</v>
      </c>
      <c r="K33" s="15" t="n">
        <f aca="false">'Monthly Detail'!L32</f>
        <v>1733</v>
      </c>
      <c r="L33" s="16" t="n">
        <f aca="false">J33-K33</f>
        <v>-55</v>
      </c>
      <c r="M33" s="17" t="n">
        <f aca="false">IF(J33=0,0,L33/ABS(J33))</f>
        <v>-0.032777115613826</v>
      </c>
      <c r="N33" s="14" t="n">
        <v>1559</v>
      </c>
    </row>
    <row r="34" customFormat="false" ht="15" hidden="false" customHeight="false" outlineLevel="0" collapsed="false">
      <c r="A34" s="13" t="n">
        <v>6120</v>
      </c>
      <c r="B34" s="13" t="s">
        <v>55</v>
      </c>
      <c r="C34" s="14" t="n">
        <v>48</v>
      </c>
      <c r="D34" s="15" t="n">
        <f aca="false">'Monthly Detail'!K33</f>
        <v>48</v>
      </c>
      <c r="E34" s="16" t="n">
        <f aca="false">C34-D34</f>
        <v>0</v>
      </c>
      <c r="F34" s="17" t="n">
        <f aca="false">IF(C34=0,0,E34/ABS(C34))</f>
        <v>0</v>
      </c>
      <c r="G34" s="15" t="n">
        <f aca="false">'Monthly Detail'!J33</f>
        <v>48</v>
      </c>
      <c r="H34" s="14" t="n">
        <v>48</v>
      </c>
      <c r="J34" s="14" t="n">
        <v>432</v>
      </c>
      <c r="K34" s="15" t="n">
        <f aca="false">'Monthly Detail'!L33</f>
        <v>432</v>
      </c>
      <c r="L34" s="16" t="n">
        <f aca="false">J34-K34</f>
        <v>0</v>
      </c>
      <c r="M34" s="17" t="n">
        <f aca="false">IF(J34=0,0,L34/ABS(J34))</f>
        <v>0</v>
      </c>
      <c r="N34" s="14" t="n">
        <v>432</v>
      </c>
    </row>
    <row r="35" customFormat="false" ht="15" hidden="false" customHeight="false" outlineLevel="0" collapsed="false">
      <c r="A35" s="13" t="n">
        <v>6210</v>
      </c>
      <c r="B35" s="13" t="s">
        <v>56</v>
      </c>
      <c r="C35" s="14" t="n">
        <v>62</v>
      </c>
      <c r="D35" s="15" t="n">
        <f aca="false">'Monthly Detail'!K34</f>
        <v>62</v>
      </c>
      <c r="E35" s="16" t="n">
        <f aca="false">C35-D35</f>
        <v>0</v>
      </c>
      <c r="F35" s="17" t="n">
        <f aca="false">IF(C35=0,0,E35/ABS(C35))</f>
        <v>0</v>
      </c>
      <c r="G35" s="15" t="n">
        <f aca="false">'Monthly Detail'!J34</f>
        <v>62</v>
      </c>
      <c r="H35" s="14" t="n">
        <v>62</v>
      </c>
      <c r="J35" s="14" t="n">
        <v>558</v>
      </c>
      <c r="K35" s="15" t="n">
        <f aca="false">'Monthly Detail'!L34</f>
        <v>558</v>
      </c>
      <c r="L35" s="16" t="n">
        <f aca="false">J35-K35</f>
        <v>0</v>
      </c>
      <c r="M35" s="17" t="n">
        <f aca="false">IF(J35=0,0,L35/ABS(J35))</f>
        <v>0</v>
      </c>
      <c r="N35" s="14" t="n">
        <v>558</v>
      </c>
    </row>
    <row r="36" customFormat="false" ht="15" hidden="false" customHeight="false" outlineLevel="0" collapsed="false">
      <c r="A36" s="13" t="n">
        <v>6220</v>
      </c>
      <c r="B36" s="13" t="s">
        <v>57</v>
      </c>
      <c r="C36" s="14" t="n">
        <v>14</v>
      </c>
      <c r="D36" s="15" t="n">
        <f aca="false">'Monthly Detail'!K35</f>
        <v>14</v>
      </c>
      <c r="E36" s="16" t="n">
        <f aca="false">C36-D36</f>
        <v>0</v>
      </c>
      <c r="F36" s="17" t="n">
        <f aca="false">IF(C36=0,0,E36/ABS(C36))</f>
        <v>0</v>
      </c>
      <c r="G36" s="15" t="n">
        <f aca="false">'Monthly Detail'!J35</f>
        <v>14</v>
      </c>
      <c r="H36" s="14" t="n">
        <v>14</v>
      </c>
      <c r="J36" s="14" t="n">
        <v>126</v>
      </c>
      <c r="K36" s="15" t="n">
        <f aca="false">'Monthly Detail'!L35</f>
        <v>126</v>
      </c>
      <c r="L36" s="16" t="n">
        <f aca="false">J36-K36</f>
        <v>0</v>
      </c>
      <c r="M36" s="17" t="n">
        <f aca="false">IF(J36=0,0,L36/ABS(J36))</f>
        <v>0</v>
      </c>
      <c r="N36" s="14" t="n">
        <v>126</v>
      </c>
    </row>
    <row r="37" customFormat="false" ht="15" hidden="false" customHeight="false" outlineLevel="0" collapsed="false">
      <c r="A37" s="13" t="n">
        <v>6310</v>
      </c>
      <c r="B37" s="13" t="s">
        <v>58</v>
      </c>
      <c r="C37" s="14" t="n">
        <v>41</v>
      </c>
      <c r="D37" s="15" t="n">
        <f aca="false">'Monthly Detail'!K36</f>
        <v>41</v>
      </c>
      <c r="E37" s="16" t="n">
        <f aca="false">C37-D37</f>
        <v>0</v>
      </c>
      <c r="F37" s="17" t="n">
        <f aca="false">IF(C37=0,0,E37/ABS(C37))</f>
        <v>0</v>
      </c>
      <c r="G37" s="15" t="n">
        <f aca="false">'Monthly Detail'!J36</f>
        <v>41</v>
      </c>
      <c r="H37" s="14" t="n">
        <v>41</v>
      </c>
      <c r="J37" s="14" t="n">
        <v>369</v>
      </c>
      <c r="K37" s="15" t="n">
        <f aca="false">'Monthly Detail'!L36</f>
        <v>369</v>
      </c>
      <c r="L37" s="16" t="n">
        <f aca="false">J37-K37</f>
        <v>0</v>
      </c>
      <c r="M37" s="17" t="n">
        <f aca="false">IF(J37=0,0,L37/ABS(J37))</f>
        <v>0</v>
      </c>
      <c r="N37" s="14" t="n">
        <v>369</v>
      </c>
    </row>
    <row r="38" customFormat="false" ht="15" hidden="false" customHeight="false" outlineLevel="0" collapsed="false">
      <c r="A38" s="13" t="n">
        <v>6410</v>
      </c>
      <c r="B38" s="13" t="s">
        <v>59</v>
      </c>
      <c r="C38" s="14" t="n">
        <v>22</v>
      </c>
      <c r="D38" s="15" t="n">
        <f aca="false">'Monthly Detail'!K37</f>
        <v>22</v>
      </c>
      <c r="E38" s="16" t="n">
        <f aca="false">C38-D38</f>
        <v>0</v>
      </c>
      <c r="F38" s="17" t="n">
        <f aca="false">IF(C38=0,0,E38/ABS(C38))</f>
        <v>0</v>
      </c>
      <c r="G38" s="15" t="n">
        <f aca="false">'Monthly Detail'!J37</f>
        <v>22</v>
      </c>
      <c r="H38" s="14" t="n">
        <v>22</v>
      </c>
      <c r="J38" s="14" t="n">
        <v>198</v>
      </c>
      <c r="K38" s="15" t="n">
        <f aca="false">'Monthly Detail'!L37</f>
        <v>198</v>
      </c>
      <c r="L38" s="16" t="n">
        <f aca="false">J38-K38</f>
        <v>0</v>
      </c>
      <c r="M38" s="17" t="n">
        <f aca="false">IF(J38=0,0,L38/ABS(J38))</f>
        <v>0</v>
      </c>
      <c r="N38" s="14" t="n">
        <v>198</v>
      </c>
    </row>
    <row r="39" customFormat="false" ht="15" hidden="false" customHeight="false" outlineLevel="0" collapsed="false">
      <c r="A39" s="13" t="n">
        <v>6420</v>
      </c>
      <c r="B39" s="13" t="s">
        <v>60</v>
      </c>
      <c r="C39" s="14" t="n">
        <v>50</v>
      </c>
      <c r="D39" s="15" t="n">
        <f aca="false">'Monthly Detail'!K38</f>
        <v>50</v>
      </c>
      <c r="E39" s="16" t="n">
        <f aca="false">C39-D39</f>
        <v>0</v>
      </c>
      <c r="F39" s="17" t="n">
        <f aca="false">IF(C39=0,0,E39/ABS(C39))</f>
        <v>0</v>
      </c>
      <c r="G39" s="15" t="n">
        <f aca="false">'Monthly Detail'!J38</f>
        <v>50</v>
      </c>
      <c r="H39" s="14" t="n">
        <v>50</v>
      </c>
      <c r="J39" s="14" t="n">
        <v>450</v>
      </c>
      <c r="K39" s="15" t="n">
        <f aca="false">'Monthly Detail'!L38</f>
        <v>450</v>
      </c>
      <c r="L39" s="16" t="n">
        <f aca="false">J39-K39</f>
        <v>0</v>
      </c>
      <c r="M39" s="17" t="n">
        <f aca="false">IF(J39=0,0,L39/ABS(J39))</f>
        <v>0</v>
      </c>
      <c r="N39" s="14" t="n">
        <v>450</v>
      </c>
    </row>
    <row r="40" customFormat="false" ht="15" hidden="false" customHeight="false" outlineLevel="0" collapsed="false">
      <c r="A40" s="13" t="n">
        <v>6510</v>
      </c>
      <c r="B40" s="13" t="s">
        <v>61</v>
      </c>
      <c r="C40" s="14" t="n">
        <v>16</v>
      </c>
      <c r="D40" s="15" t="n">
        <f aca="false">'Monthly Detail'!K39</f>
        <v>24</v>
      </c>
      <c r="E40" s="16" t="n">
        <f aca="false">C40-D40</f>
        <v>-8</v>
      </c>
      <c r="F40" s="17" t="n">
        <f aca="false">IF(C40=0,0,E40/ABS(C40))</f>
        <v>-0.5</v>
      </c>
      <c r="G40" s="15" t="n">
        <f aca="false">'Monthly Detail'!J39</f>
        <v>24</v>
      </c>
      <c r="H40" s="14" t="n">
        <v>16</v>
      </c>
      <c r="J40" s="14" t="n">
        <v>144</v>
      </c>
      <c r="K40" s="15" t="n">
        <f aca="false">'Monthly Detail'!L39</f>
        <v>176</v>
      </c>
      <c r="L40" s="16" t="n">
        <f aca="false">J40-K40</f>
        <v>-32</v>
      </c>
      <c r="M40" s="17" t="n">
        <f aca="false">IF(J40=0,0,L40/ABS(J40))</f>
        <v>-0.222222222222222</v>
      </c>
      <c r="N40" s="14" t="n">
        <v>144</v>
      </c>
    </row>
    <row r="41" customFormat="false" ht="15" hidden="false" customHeight="false" outlineLevel="0" collapsed="false">
      <c r="A41" s="13" t="n">
        <v>6900</v>
      </c>
      <c r="B41" s="13" t="s">
        <v>62</v>
      </c>
      <c r="C41" s="14" t="n">
        <v>30</v>
      </c>
      <c r="D41" s="15" t="n">
        <f aca="false">'Monthly Detail'!K40</f>
        <v>30</v>
      </c>
      <c r="E41" s="16" t="n">
        <f aca="false">C41-D41</f>
        <v>0</v>
      </c>
      <c r="F41" s="17" t="n">
        <f aca="false">IF(C41=0,0,E41/ABS(C41))</f>
        <v>0</v>
      </c>
      <c r="G41" s="15" t="n">
        <f aca="false">'Monthly Detail'!J40</f>
        <v>30</v>
      </c>
      <c r="H41" s="14" t="n">
        <v>30</v>
      </c>
      <c r="J41" s="14" t="n">
        <v>270</v>
      </c>
      <c r="K41" s="15" t="n">
        <f aca="false">'Monthly Detail'!L40</f>
        <v>270</v>
      </c>
      <c r="L41" s="16" t="n">
        <f aca="false">J41-K41</f>
        <v>0</v>
      </c>
      <c r="M41" s="17" t="n">
        <f aca="false">IF(J41=0,0,L41/ABS(J41))</f>
        <v>0</v>
      </c>
      <c r="N41" s="14" t="n">
        <v>270</v>
      </c>
    </row>
    <row r="42" customFormat="false" ht="15" hidden="false" customHeight="false" outlineLevel="0" collapsed="false">
      <c r="B42" s="18" t="s">
        <v>63</v>
      </c>
      <c r="C42" s="19" t="n">
        <f aca="false">SUM(C30:C41)</f>
        <v>918</v>
      </c>
      <c r="D42" s="19" t="n">
        <f aca="false">SUM(D30:D41)</f>
        <v>931</v>
      </c>
      <c r="E42" s="20" t="n">
        <f aca="false">C42-D42</f>
        <v>-13</v>
      </c>
      <c r="F42" s="21" t="n">
        <f aca="false">IF(C42=0,0,E42/ABS(C42))</f>
        <v>-0.014161220043573</v>
      </c>
      <c r="G42" s="19" t="n">
        <f aca="false">SUM(G30:G41)</f>
        <v>960</v>
      </c>
      <c r="H42" s="19" t="n">
        <f aca="false">SUM(H30:H41)</f>
        <v>904</v>
      </c>
      <c r="J42" s="19" t="n">
        <f aca="false">SUM(J30:J41)</f>
        <v>8239</v>
      </c>
      <c r="K42" s="19" t="n">
        <f aca="false">SUM(K30:K41)</f>
        <v>8326</v>
      </c>
      <c r="L42" s="20" t="n">
        <f aca="false">J42-K42</f>
        <v>-87</v>
      </c>
      <c r="M42" s="21" t="n">
        <f aca="false">IF(J42=0,0,L42/ABS(J42))</f>
        <v>-0.0105595339240199</v>
      </c>
      <c r="N42" s="19" t="n">
        <f aca="false">SUM(N30:N41)</f>
        <v>8120</v>
      </c>
    </row>
    <row r="44" customFormat="false" ht="15" hidden="false" customHeight="false" outlineLevel="0" collapsed="false">
      <c r="B44" s="18" t="s">
        <v>64</v>
      </c>
      <c r="C44" s="19" t="n">
        <f aca="false">C26-C42</f>
        <v>659</v>
      </c>
      <c r="D44" s="19" t="n">
        <f aca="false">D26-D42</f>
        <v>502</v>
      </c>
      <c r="E44" s="20" t="n">
        <f aca="false">D44-C44</f>
        <v>-157</v>
      </c>
      <c r="F44" s="21" t="n">
        <f aca="false">IF(C44=0,0,E44/ABS(C44))</f>
        <v>-0.238239757207891</v>
      </c>
      <c r="G44" s="19" t="n">
        <f aca="false">G26-G42</f>
        <v>687</v>
      </c>
      <c r="H44" s="19" t="n">
        <f aca="false">H26-H42</f>
        <v>563</v>
      </c>
      <c r="J44" s="19" t="n">
        <f aca="false">J26-J42</f>
        <v>5734</v>
      </c>
      <c r="K44" s="19" t="n">
        <f aca="false">K26-K42</f>
        <v>5307</v>
      </c>
      <c r="L44" s="20" t="n">
        <f aca="false">K44-J44</f>
        <v>-427</v>
      </c>
      <c r="M44" s="21" t="n">
        <f aca="false">IF(J44=0,0,L44/ABS(J44))</f>
        <v>-0.074468085106383</v>
      </c>
      <c r="N44" s="19" t="n">
        <f aca="false">N26-N42</f>
        <v>4957</v>
      </c>
    </row>
    <row r="45" customFormat="false" ht="15" hidden="false" customHeight="false" outlineLevel="0" collapsed="false">
      <c r="B45" s="18" t="s">
        <v>65</v>
      </c>
      <c r="C45" s="22" t="n">
        <f aca="false">IF(C15=0,0,C44/C15)</f>
        <v>0.205487995010914</v>
      </c>
      <c r="D45" s="22" t="n">
        <f aca="false">IF(D15=0,0,D44/D15)</f>
        <v>0.152213462704669</v>
      </c>
      <c r="G45" s="22" t="n">
        <f aca="false">IF(G15=0,0,G44/G15)</f>
        <v>0.181986754966887</v>
      </c>
      <c r="H45" s="22" t="n">
        <f aca="false">IF(H15=0,0,H44/H15)</f>
        <v>0.189498485358465</v>
      </c>
      <c r="J45" s="22" t="n">
        <f aca="false">IF(J15=0,0,J44/J15)</f>
        <v>0.201489914962401</v>
      </c>
      <c r="K45" s="22" t="n">
        <f aca="false">IF(K15=0,0,K44/K15)</f>
        <v>0.180534766634916</v>
      </c>
      <c r="N45" s="22" t="n">
        <f aca="false">IF(N15=0,0,N44/N15)</f>
        <v>0.187311064087062</v>
      </c>
    </row>
    <row r="47" customFormat="false" ht="15" hidden="false" customHeight="false" outlineLevel="0" collapsed="false">
      <c r="A47" s="11"/>
      <c r="B47" s="12" t="s">
        <v>66</v>
      </c>
      <c r="C47" s="11"/>
      <c r="D47" s="11"/>
      <c r="E47" s="11"/>
      <c r="F47" s="11"/>
      <c r="G47" s="11"/>
      <c r="H47" s="11"/>
      <c r="I47" s="11"/>
      <c r="J47" s="11"/>
      <c r="K47" s="11"/>
      <c r="L47" s="11"/>
      <c r="M47" s="11"/>
      <c r="N47" s="11"/>
    </row>
    <row r="48" customFormat="false" ht="15" hidden="false" customHeight="false" outlineLevel="0" collapsed="false">
      <c r="A48" s="13" t="n">
        <v>7010</v>
      </c>
      <c r="B48" s="13" t="s">
        <v>67</v>
      </c>
      <c r="C48" s="14" t="n">
        <v>38</v>
      </c>
      <c r="D48" s="15" t="n">
        <f aca="false">'Monthly Detail'!K46</f>
        <v>38</v>
      </c>
      <c r="E48" s="16" t="n">
        <f aca="false">C48-D48</f>
        <v>0</v>
      </c>
      <c r="F48" s="17" t="n">
        <f aca="false">IF(C48=0,0,E48/ABS(C48))</f>
        <v>0</v>
      </c>
      <c r="G48" s="15" t="n">
        <f aca="false">'Monthly Detail'!J46</f>
        <v>38</v>
      </c>
      <c r="H48" s="14" t="n">
        <v>38</v>
      </c>
      <c r="J48" s="14" t="n">
        <v>342</v>
      </c>
      <c r="K48" s="15" t="n">
        <f aca="false">'Monthly Detail'!L46</f>
        <v>342</v>
      </c>
      <c r="L48" s="16" t="n">
        <f aca="false">J48-K48</f>
        <v>0</v>
      </c>
      <c r="M48" s="17" t="n">
        <f aca="false">IF(J48=0,0,L48/ABS(J48))</f>
        <v>0</v>
      </c>
      <c r="N48" s="14" t="n">
        <v>342</v>
      </c>
    </row>
    <row r="49" customFormat="false" ht="15" hidden="false" customHeight="false" outlineLevel="0" collapsed="false">
      <c r="A49" s="13" t="n">
        <v>7020</v>
      </c>
      <c r="B49" s="13" t="s">
        <v>68</v>
      </c>
      <c r="C49" s="14" t="n">
        <v>55</v>
      </c>
      <c r="D49" s="15" t="n">
        <f aca="false">'Monthly Detail'!K47</f>
        <v>55</v>
      </c>
      <c r="E49" s="16" t="n">
        <f aca="false">C49-D49</f>
        <v>0</v>
      </c>
      <c r="F49" s="17" t="n">
        <f aca="false">IF(C49=0,0,E49/ABS(C49))</f>
        <v>0</v>
      </c>
      <c r="G49" s="15" t="n">
        <f aca="false">'Monthly Detail'!J47</f>
        <v>55</v>
      </c>
      <c r="H49" s="14" t="n">
        <v>55</v>
      </c>
      <c r="J49" s="14" t="n">
        <v>495</v>
      </c>
      <c r="K49" s="15" t="n">
        <f aca="false">'Monthly Detail'!L47</f>
        <v>495</v>
      </c>
      <c r="L49" s="16" t="n">
        <f aca="false">J49-K49</f>
        <v>0</v>
      </c>
      <c r="M49" s="17" t="n">
        <f aca="false">IF(J49=0,0,L49/ABS(J49))</f>
        <v>0</v>
      </c>
      <c r="N49" s="14" t="n">
        <v>495</v>
      </c>
    </row>
    <row r="50" customFormat="false" ht="15" hidden="false" customHeight="false" outlineLevel="0" collapsed="false">
      <c r="A50" s="13" t="n">
        <v>7110</v>
      </c>
      <c r="B50" s="13" t="s">
        <v>69</v>
      </c>
      <c r="C50" s="14" t="n">
        <v>165</v>
      </c>
      <c r="D50" s="15" t="n">
        <f aca="false">'Monthly Detail'!K48</f>
        <v>165</v>
      </c>
      <c r="E50" s="16" t="n">
        <f aca="false">C50-D50</f>
        <v>0</v>
      </c>
      <c r="F50" s="17" t="n">
        <f aca="false">IF(C50=0,0,E50/ABS(C50))</f>
        <v>0</v>
      </c>
      <c r="G50" s="15" t="n">
        <f aca="false">'Monthly Detail'!J48</f>
        <v>165</v>
      </c>
      <c r="H50" s="14" t="n">
        <v>165</v>
      </c>
      <c r="J50" s="14" t="n">
        <v>1485</v>
      </c>
      <c r="K50" s="15" t="n">
        <f aca="false">'Monthly Detail'!L48</f>
        <v>1485</v>
      </c>
      <c r="L50" s="16" t="n">
        <f aca="false">J50-K50</f>
        <v>0</v>
      </c>
      <c r="M50" s="17" t="n">
        <f aca="false">IF(J50=0,0,L50/ABS(J50))</f>
        <v>0</v>
      </c>
      <c r="N50" s="14" t="n">
        <v>1485</v>
      </c>
    </row>
    <row r="51" customFormat="false" ht="15" hidden="false" customHeight="false" outlineLevel="0" collapsed="false">
      <c r="A51" s="13" t="n">
        <v>7310</v>
      </c>
      <c r="B51" s="13" t="s">
        <v>70</v>
      </c>
      <c r="C51" s="14" t="n">
        <v>100</v>
      </c>
      <c r="D51" s="15" t="n">
        <f aca="false">'Monthly Detail'!K49</f>
        <v>61</v>
      </c>
      <c r="E51" s="16" t="n">
        <f aca="false">C51-D51</f>
        <v>39</v>
      </c>
      <c r="F51" s="17" t="n">
        <f aca="false">IF(C51=0,0,E51/ABS(C51))</f>
        <v>0.39</v>
      </c>
      <c r="G51" s="15" t="n">
        <f aca="false">'Monthly Detail'!J49</f>
        <v>107</v>
      </c>
      <c r="H51" s="14" t="n">
        <v>76</v>
      </c>
      <c r="J51" s="14" t="n">
        <v>853</v>
      </c>
      <c r="K51" s="15" t="n">
        <f aca="false">'Monthly Detail'!L49</f>
        <v>746</v>
      </c>
      <c r="L51" s="16" t="n">
        <f aca="false">J51-K51</f>
        <v>107</v>
      </c>
      <c r="M51" s="17" t="n">
        <f aca="false">IF(J51=0,0,L51/ABS(J51))</f>
        <v>0.125439624853458</v>
      </c>
      <c r="N51" s="14" t="n">
        <v>658</v>
      </c>
    </row>
    <row r="53" customFormat="false" ht="15" hidden="false" customHeight="false" outlineLevel="0" collapsed="false">
      <c r="B53" s="18" t="s">
        <v>71</v>
      </c>
      <c r="C53" s="19" t="n">
        <f aca="false">C44-SUM(C48:C51)</f>
        <v>301</v>
      </c>
      <c r="D53" s="19" t="n">
        <f aca="false">D44-SUM(D48:D51)</f>
        <v>183</v>
      </c>
      <c r="E53" s="20" t="n">
        <f aca="false">D53-C53</f>
        <v>-118</v>
      </c>
      <c r="F53" s="21" t="n">
        <f aca="false">IF(C53=0,0,E53/ABS(C53))</f>
        <v>-0.39202657807309</v>
      </c>
      <c r="G53" s="19" t="n">
        <f aca="false">G44-SUM(G48:G51)</f>
        <v>322</v>
      </c>
      <c r="H53" s="19" t="n">
        <f aca="false">H44-SUM(H48:H51)</f>
        <v>229</v>
      </c>
      <c r="J53" s="19" t="n">
        <f aca="false">J44-SUM(J48:J51)</f>
        <v>2559</v>
      </c>
      <c r="K53" s="19" t="n">
        <f aca="false">K44-SUM(K48:K51)</f>
        <v>2239</v>
      </c>
      <c r="L53" s="20" t="n">
        <f aca="false">K53-J53</f>
        <v>-320</v>
      </c>
      <c r="M53" s="21" t="n">
        <f aca="false">IF(J53=0,0,L53/ABS(J53))</f>
        <v>-0.12504884720594</v>
      </c>
      <c r="N53" s="19" t="n">
        <f aca="false">N44-SUM(N48:N51)</f>
        <v>1977</v>
      </c>
    </row>
  </sheetData>
  <mergeCells count="6">
    <mergeCell ref="A1:N1"/>
    <mergeCell ref="A2:N2"/>
    <mergeCell ref="A3:N3"/>
    <mergeCell ref="A4:N4"/>
    <mergeCell ref="C6:H6"/>
    <mergeCell ref="J6:N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4" min="3" style="0" width="11"/>
    <col collapsed="false" customWidth="true" hidden="false" outlineLevel="0" max="5" min="5" style="0" width="2"/>
    <col collapsed="false" customWidth="true" hidden="false" outlineLevel="0" max="7" min="6" style="0" width="11"/>
    <col collapsed="false" customWidth="true" hidden="false" outlineLevel="0" max="8" min="8" style="0" width="2"/>
    <col collapsed="false" customWidth="true" hidden="false" outlineLevel="0" max="10" min="9" style="0" width="11"/>
    <col collapsed="false" customWidth="true" hidden="false" outlineLevel="0" max="11" min="11" style="0" width="2"/>
    <col collapsed="false" customWidth="true" hidden="false" outlineLevel="0" max="13" min="12" style="0" width="11"/>
  </cols>
  <sheetData>
    <row r="1" customFormat="false" ht="17.35" hidden="false" customHeight="false" outlineLevel="0" collapsed="false">
      <c r="A1" s="5" t="s">
        <v>14</v>
      </c>
      <c r="B1" s="5"/>
      <c r="C1" s="5"/>
      <c r="D1" s="5"/>
      <c r="E1" s="5"/>
      <c r="F1" s="5"/>
      <c r="G1" s="5"/>
      <c r="H1" s="5"/>
      <c r="I1" s="5"/>
      <c r="J1" s="5"/>
      <c r="K1" s="5"/>
      <c r="L1" s="5"/>
      <c r="M1" s="5"/>
    </row>
    <row r="2" customFormat="false" ht="15" hidden="false" customHeight="false" outlineLevel="0" collapsed="false">
      <c r="A2" s="6" t="s">
        <v>72</v>
      </c>
      <c r="B2" s="6"/>
      <c r="C2" s="6"/>
      <c r="D2" s="6"/>
      <c r="E2" s="6"/>
      <c r="F2" s="6"/>
      <c r="G2" s="6"/>
      <c r="H2" s="6"/>
      <c r="I2" s="6"/>
      <c r="J2" s="6"/>
      <c r="K2" s="6"/>
      <c r="L2" s="6"/>
      <c r="M2" s="6"/>
    </row>
    <row r="3" customFormat="false" ht="15" hidden="false" customHeight="false" outlineLevel="0" collapsed="false">
      <c r="A3" s="7" t="s">
        <v>73</v>
      </c>
      <c r="B3" s="7"/>
      <c r="C3" s="7"/>
      <c r="D3" s="7"/>
      <c r="E3" s="7"/>
      <c r="F3" s="7"/>
      <c r="G3" s="7"/>
      <c r="H3" s="7"/>
      <c r="I3" s="7"/>
      <c r="J3" s="7"/>
      <c r="K3" s="7"/>
      <c r="L3" s="7"/>
      <c r="M3" s="7"/>
    </row>
    <row r="4" customFormat="false" ht="15" hidden="false" customHeight="false" outlineLevel="0" collapsed="false">
      <c r="A4" s="8" t="s">
        <v>17</v>
      </c>
      <c r="B4" s="8"/>
      <c r="C4" s="8"/>
      <c r="D4" s="8"/>
      <c r="E4" s="8"/>
      <c r="F4" s="8"/>
      <c r="G4" s="8"/>
      <c r="H4" s="8"/>
      <c r="I4" s="8"/>
      <c r="J4" s="8"/>
      <c r="K4" s="8"/>
      <c r="L4" s="8"/>
      <c r="M4" s="8"/>
    </row>
    <row r="6" customFormat="false" ht="15" hidden="false" customHeight="false" outlineLevel="0" collapsed="false">
      <c r="C6" s="9" t="s">
        <v>74</v>
      </c>
      <c r="D6" s="9"/>
      <c r="F6" s="9" t="s">
        <v>75</v>
      </c>
      <c r="G6" s="9"/>
      <c r="I6" s="9" t="s">
        <v>76</v>
      </c>
      <c r="J6" s="9"/>
      <c r="L6" s="9" t="s">
        <v>77</v>
      </c>
      <c r="M6" s="9"/>
    </row>
    <row r="7" customFormat="false" ht="15" hidden="false" customHeight="false" outlineLevel="0" collapsed="false">
      <c r="C7" s="23" t="s">
        <v>78</v>
      </c>
      <c r="D7" s="23" t="s">
        <v>79</v>
      </c>
      <c r="F7" s="23" t="s">
        <v>78</v>
      </c>
      <c r="G7" s="23" t="s">
        <v>79</v>
      </c>
      <c r="I7" s="23" t="s">
        <v>78</v>
      </c>
      <c r="J7" s="23" t="s">
        <v>79</v>
      </c>
      <c r="L7" s="23" t="s">
        <v>78</v>
      </c>
      <c r="M7" s="23" t="s">
        <v>79</v>
      </c>
    </row>
    <row r="8" customFormat="false" ht="15" hidden="false" customHeight="false" outlineLevel="0" collapsed="false">
      <c r="B8" s="13" t="s">
        <v>38</v>
      </c>
      <c r="C8" s="14" t="n">
        <v>1359</v>
      </c>
      <c r="D8" s="14" t="n">
        <v>1251</v>
      </c>
      <c r="F8" s="14" t="n">
        <v>1154</v>
      </c>
      <c r="G8" s="14" t="n">
        <v>1090</v>
      </c>
      <c r="I8" s="14" t="n">
        <v>785</v>
      </c>
      <c r="J8" s="14" t="n">
        <v>866</v>
      </c>
      <c r="L8" s="20" t="n">
        <f aca="false">C8+F8+I8</f>
        <v>3298</v>
      </c>
      <c r="M8" s="20" t="n">
        <f aca="false">D8+G8+J8</f>
        <v>3207</v>
      </c>
    </row>
    <row r="9" customFormat="false" ht="15" hidden="false" customHeight="false" outlineLevel="0" collapsed="false">
      <c r="B9" s="13" t="s">
        <v>80</v>
      </c>
      <c r="C9" s="14" t="n">
        <v>731</v>
      </c>
      <c r="D9" s="14" t="n">
        <v>636</v>
      </c>
      <c r="F9" s="14" t="n">
        <v>593</v>
      </c>
      <c r="G9" s="14" t="n">
        <v>554</v>
      </c>
      <c r="I9" s="14" t="n">
        <v>494</v>
      </c>
      <c r="J9" s="14" t="n">
        <v>440</v>
      </c>
      <c r="L9" s="20" t="n">
        <f aca="false">C9+F9+I9</f>
        <v>1818</v>
      </c>
      <c r="M9" s="20" t="n">
        <f aca="false">D9+G9+J9</f>
        <v>1630</v>
      </c>
    </row>
    <row r="10" customFormat="false" ht="15" hidden="false" customHeight="false" outlineLevel="0" collapsed="false">
      <c r="B10" s="18" t="s">
        <v>48</v>
      </c>
      <c r="C10" s="20" t="n">
        <f aca="false">C8-C9</f>
        <v>628</v>
      </c>
      <c r="D10" s="20" t="n">
        <f aca="false">D8-D9</f>
        <v>615</v>
      </c>
      <c r="F10" s="20" t="n">
        <f aca="false">F8-F9</f>
        <v>561</v>
      </c>
      <c r="G10" s="20" t="n">
        <f aca="false">G8-G9</f>
        <v>536</v>
      </c>
      <c r="I10" s="20" t="n">
        <f aca="false">I8-I9</f>
        <v>291</v>
      </c>
      <c r="J10" s="20" t="n">
        <f aca="false">J8-J9</f>
        <v>426</v>
      </c>
      <c r="L10" s="20" t="n">
        <f aca="false">C10+F10+I10</f>
        <v>1480</v>
      </c>
      <c r="M10" s="20" t="n">
        <f aca="false">D10+G10+J10</f>
        <v>1577</v>
      </c>
    </row>
    <row r="11" customFormat="false" ht="15" hidden="false" customHeight="false" outlineLevel="0" collapsed="false">
      <c r="B11" s="13" t="s">
        <v>49</v>
      </c>
      <c r="C11" s="17" t="n">
        <f aca="false">IF(C8=0,0,C10/C8)</f>
        <v>0.462104488594555</v>
      </c>
      <c r="D11" s="17" t="n">
        <f aca="false">IF(D8=0,0,D10/D8)</f>
        <v>0.491606714628297</v>
      </c>
      <c r="F11" s="17" t="n">
        <f aca="false">IF(F8=0,0,F10/F8)</f>
        <v>0.486135181975737</v>
      </c>
      <c r="G11" s="17" t="n">
        <f aca="false">IF(G8=0,0,G10/G8)</f>
        <v>0.491743119266055</v>
      </c>
      <c r="I11" s="17" t="n">
        <f aca="false">IF(I8=0,0,I10/I8)</f>
        <v>0.370700636942675</v>
      </c>
      <c r="J11" s="17" t="n">
        <f aca="false">IF(J8=0,0,J10/J8)</f>
        <v>0.491916859122402</v>
      </c>
      <c r="L11" s="21" t="n">
        <f aca="false">IF(L8=0,0,L10/L8)</f>
        <v>0.448756822316556</v>
      </c>
      <c r="M11" s="21" t="n">
        <f aca="false">IF(M8=0,0,M10/M8)</f>
        <v>0.491736825693795</v>
      </c>
    </row>
    <row r="12" customFormat="false" ht="15" hidden="false" customHeight="false" outlineLevel="0" collapsed="false">
      <c r="B12" s="13" t="s">
        <v>81</v>
      </c>
      <c r="C12" s="14" t="n">
        <v>179</v>
      </c>
      <c r="D12" s="14" t="n">
        <v>177</v>
      </c>
      <c r="F12" s="14" t="n">
        <v>165</v>
      </c>
      <c r="G12" s="14" t="n">
        <v>162</v>
      </c>
      <c r="I12" s="14" t="n">
        <v>152</v>
      </c>
      <c r="J12" s="14" t="n">
        <v>138</v>
      </c>
      <c r="L12" s="20" t="n">
        <f aca="false">C12+F12+I12</f>
        <v>496</v>
      </c>
      <c r="M12" s="20" t="n">
        <f aca="false">D12+G12+J12</f>
        <v>477</v>
      </c>
    </row>
    <row r="13" customFormat="false" ht="15" hidden="false" customHeight="false" outlineLevel="0" collapsed="false">
      <c r="B13" s="18" t="s">
        <v>82</v>
      </c>
      <c r="C13" s="20" t="n">
        <f aca="false">C10-C12</f>
        <v>449</v>
      </c>
      <c r="D13" s="20" t="n">
        <f aca="false">D10-D12</f>
        <v>438</v>
      </c>
      <c r="F13" s="20" t="n">
        <f aca="false">F10-F12</f>
        <v>396</v>
      </c>
      <c r="G13" s="20" t="n">
        <f aca="false">G10-G12</f>
        <v>374</v>
      </c>
      <c r="I13" s="20" t="n">
        <f aca="false">I10-I12</f>
        <v>139</v>
      </c>
      <c r="J13" s="20" t="n">
        <f aca="false">J10-J12</f>
        <v>288</v>
      </c>
      <c r="L13" s="20" t="n">
        <f aca="false">C13+F13+I13</f>
        <v>984</v>
      </c>
      <c r="M13" s="20" t="n">
        <f aca="false">D13+G13+J13</f>
        <v>1100</v>
      </c>
    </row>
    <row r="14" customFormat="false" ht="15" hidden="false" customHeight="false" outlineLevel="0" collapsed="false">
      <c r="B14" s="13" t="s">
        <v>83</v>
      </c>
      <c r="C14" s="17" t="n">
        <f aca="false">IF(C8=0,0,C13/C8)</f>
        <v>0.330389992641648</v>
      </c>
      <c r="D14" s="17" t="n">
        <f aca="false">IF(D8=0,0,D13/D8)</f>
        <v>0.350119904076739</v>
      </c>
      <c r="F14" s="17" t="n">
        <f aca="false">IF(F8=0,0,F13/F8)</f>
        <v>0.34315424610052</v>
      </c>
      <c r="G14" s="17" t="n">
        <f aca="false">IF(G8=0,0,G13/G8)</f>
        <v>0.343119266055046</v>
      </c>
      <c r="I14" s="17" t="n">
        <f aca="false">IF(I8=0,0,I13/I8)</f>
        <v>0.177070063694268</v>
      </c>
      <c r="J14" s="17" t="n">
        <f aca="false">IF(J8=0,0,J13/J8)</f>
        <v>0.33256351039261</v>
      </c>
      <c r="L14" s="21" t="n">
        <f aca="false">IF(L8=0,0,L13/L8)</f>
        <v>0.298362644026683</v>
      </c>
      <c r="M14" s="21" t="n">
        <f aca="false">IF(M8=0,0,M13/M8)</f>
        <v>0.342999688182102</v>
      </c>
    </row>
    <row r="16" customFormat="false" ht="15" hidden="false" customHeight="false" outlineLevel="0" collapsed="false">
      <c r="B16" s="18" t="s">
        <v>84</v>
      </c>
    </row>
    <row r="17" customFormat="false" ht="15" hidden="false" customHeight="false" outlineLevel="0" collapsed="false">
      <c r="B17" s="13" t="s">
        <v>85</v>
      </c>
      <c r="L17" s="24" t="n">
        <f aca="false">L13</f>
        <v>984</v>
      </c>
      <c r="M17" s="24" t="n">
        <f aca="false">M13</f>
        <v>1100</v>
      </c>
    </row>
    <row r="18" customFormat="false" ht="15" hidden="false" customHeight="false" outlineLevel="0" collapsed="false">
      <c r="B18" s="13" t="s">
        <v>86</v>
      </c>
      <c r="L18" s="14" t="n">
        <v>435</v>
      </c>
      <c r="M18" s="14" t="n">
        <v>441</v>
      </c>
    </row>
    <row r="19" customFormat="false" ht="15" hidden="false" customHeight="false" outlineLevel="0" collapsed="false">
      <c r="B19" s="18" t="s">
        <v>87</v>
      </c>
      <c r="L19" s="25" t="n">
        <f aca="false">L17-L18</f>
        <v>549</v>
      </c>
      <c r="M19" s="25" t="n">
        <f aca="false">M17-M18</f>
        <v>659</v>
      </c>
    </row>
    <row r="21" customFormat="false" ht="15" hidden="false" customHeight="false" outlineLevel="0" collapsed="false">
      <c r="B21" s="18" t="s">
        <v>88</v>
      </c>
    </row>
    <row r="22" customFormat="false" ht="15" hidden="false" customHeight="false" outlineLevel="0" collapsed="false">
      <c r="B22" s="13" t="s">
        <v>89</v>
      </c>
      <c r="C22" s="26" t="n">
        <v>45</v>
      </c>
      <c r="F22" s="26" t="n">
        <v>39</v>
      </c>
      <c r="I22" s="26" t="n">
        <v>27</v>
      </c>
      <c r="L22" s="27" t="n">
        <f aca="false">C22+F22+I22</f>
        <v>111</v>
      </c>
    </row>
    <row r="23" customFormat="false" ht="15" hidden="false" customHeight="false" outlineLevel="0" collapsed="false">
      <c r="B23" s="13" t="s">
        <v>90</v>
      </c>
      <c r="C23" s="26" t="n">
        <v>1153</v>
      </c>
      <c r="F23" s="26" t="n">
        <v>1009</v>
      </c>
      <c r="I23" s="26" t="n">
        <v>720</v>
      </c>
      <c r="L23" s="27" t="n">
        <f aca="false">C23+F23+I23</f>
        <v>2882</v>
      </c>
    </row>
    <row r="24" customFormat="false" ht="15" hidden="false" customHeight="false" outlineLevel="0" collapsed="false">
      <c r="B24" s="13" t="s">
        <v>91</v>
      </c>
      <c r="C24" s="26" t="n">
        <v>36</v>
      </c>
      <c r="F24" s="26" t="n">
        <v>36</v>
      </c>
      <c r="I24" s="26" t="n">
        <v>56</v>
      </c>
      <c r="L24" s="27" t="n">
        <f aca="false">C24+F24+I24</f>
        <v>128</v>
      </c>
    </row>
    <row r="25" customFormat="false" ht="15" hidden="false" customHeight="false" outlineLevel="0" collapsed="false">
      <c r="B25" s="13" t="s">
        <v>92</v>
      </c>
      <c r="C25" s="17" t="n">
        <f aca="false">IF(C23=0,0,C24/C23)</f>
        <v>0.0312228967909801</v>
      </c>
      <c r="F25" s="17" t="n">
        <f aca="false">IF(F23=0,0,F24/F23)</f>
        <v>0.0356788899900892</v>
      </c>
      <c r="I25" s="17" t="n">
        <f aca="false">IF(I23=0,0,I24/I23)</f>
        <v>0.0777777777777778</v>
      </c>
      <c r="L25" s="21" t="n">
        <f aca="false">IF(L23=0,0,L24/L23)</f>
        <v>0.0444136016655101</v>
      </c>
    </row>
    <row r="26" customFormat="false" ht="15" hidden="false" customHeight="false" outlineLevel="0" collapsed="false">
      <c r="B26" s="13" t="s">
        <v>93</v>
      </c>
      <c r="C26" s="28" t="n">
        <v>0.768</v>
      </c>
      <c r="F26" s="28" t="n">
        <v>0.741</v>
      </c>
      <c r="I26" s="28" t="n">
        <v>0.682</v>
      </c>
    </row>
    <row r="27" customFormat="false" ht="15" hidden="false" customHeight="false" outlineLevel="0" collapsed="false">
      <c r="B27" s="13" t="s">
        <v>94</v>
      </c>
      <c r="C27" s="29" t="n">
        <f aca="false">IF(C22=0,0,C8/C22)</f>
        <v>30.2</v>
      </c>
      <c r="F27" s="29" t="n">
        <f aca="false">IF(F22=0,0,F8/F22)</f>
        <v>29.5897435897436</v>
      </c>
      <c r="I27" s="29" t="n">
        <f aca="false">IF(I22=0,0,I8/I22)</f>
        <v>29.0740740740741</v>
      </c>
    </row>
  </sheetData>
  <mergeCells count="8">
    <mergeCell ref="A1:M1"/>
    <mergeCell ref="A2:M2"/>
    <mergeCell ref="A3:M3"/>
    <mergeCell ref="A4:M4"/>
    <mergeCell ref="C6:D6"/>
    <mergeCell ref="F6:G6"/>
    <mergeCell ref="I6:J6"/>
    <mergeCell ref="L6:M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7"/>
    <col collapsed="false" customWidth="true" hidden="false" outlineLevel="0" max="11" min="3" style="0" width="10"/>
  </cols>
  <sheetData>
    <row r="1" customFormat="false" ht="17.35" hidden="false" customHeight="false" outlineLevel="0" collapsed="false">
      <c r="A1" s="5" t="s">
        <v>14</v>
      </c>
      <c r="B1" s="5"/>
      <c r="C1" s="5"/>
      <c r="D1" s="5"/>
      <c r="E1" s="5"/>
      <c r="F1" s="5"/>
      <c r="G1" s="5"/>
      <c r="H1" s="5"/>
      <c r="I1" s="5"/>
      <c r="J1" s="5"/>
      <c r="K1" s="5"/>
    </row>
    <row r="2" customFormat="false" ht="15" hidden="false" customHeight="false" outlineLevel="0" collapsed="false">
      <c r="A2" s="6" t="s">
        <v>95</v>
      </c>
      <c r="B2" s="6"/>
      <c r="C2" s="6"/>
      <c r="D2" s="6"/>
      <c r="E2" s="6"/>
      <c r="F2" s="6"/>
      <c r="G2" s="6"/>
      <c r="H2" s="6"/>
      <c r="I2" s="6"/>
      <c r="J2" s="6"/>
      <c r="K2" s="6"/>
    </row>
    <row r="3" customFormat="false" ht="15" hidden="false" customHeight="false" outlineLevel="0" collapsed="false">
      <c r="A3" s="8" t="s">
        <v>17</v>
      </c>
      <c r="B3" s="8"/>
      <c r="C3" s="8"/>
      <c r="D3" s="8"/>
      <c r="E3" s="8"/>
      <c r="F3" s="8"/>
      <c r="G3" s="8"/>
      <c r="H3" s="8"/>
      <c r="I3" s="8"/>
      <c r="J3" s="8"/>
      <c r="K3" s="8"/>
    </row>
    <row r="5" customFormat="false" ht="15" hidden="false" customHeight="false" outlineLevel="0" collapsed="false">
      <c r="A5" s="30" t="s">
        <v>96</v>
      </c>
      <c r="B5" s="30" t="s">
        <v>97</v>
      </c>
      <c r="C5" s="30" t="s">
        <v>98</v>
      </c>
      <c r="D5" s="30" t="s">
        <v>99</v>
      </c>
      <c r="E5" s="30" t="s">
        <v>100</v>
      </c>
      <c r="F5" s="30" t="s">
        <v>101</v>
      </c>
      <c r="G5" s="30" t="s">
        <v>102</v>
      </c>
      <c r="H5" s="30" t="s">
        <v>103</v>
      </c>
      <c r="I5" s="30" t="s">
        <v>104</v>
      </c>
      <c r="J5" s="30" t="s">
        <v>105</v>
      </c>
      <c r="K5" s="30" t="s">
        <v>106</v>
      </c>
    </row>
    <row r="6" customFormat="false" ht="15" hidden="false" customHeight="false" outlineLevel="0" collapsed="false">
      <c r="A6" s="12" t="s">
        <v>107</v>
      </c>
      <c r="B6" s="11"/>
      <c r="C6" s="11"/>
      <c r="D6" s="11"/>
      <c r="E6" s="11"/>
      <c r="F6" s="11"/>
      <c r="G6" s="11"/>
      <c r="H6" s="11"/>
      <c r="I6" s="11"/>
      <c r="J6" s="11"/>
      <c r="K6" s="11"/>
    </row>
    <row r="7" customFormat="false" ht="15" hidden="false" customHeight="false" outlineLevel="0" collapsed="false">
      <c r="A7" s="13" t="s">
        <v>108</v>
      </c>
      <c r="B7" s="31" t="s">
        <v>109</v>
      </c>
      <c r="C7" s="26" t="n">
        <v>2679</v>
      </c>
      <c r="D7" s="26" t="n">
        <v>2584</v>
      </c>
      <c r="E7" s="26" t="n">
        <v>2768</v>
      </c>
      <c r="F7" s="26" t="n">
        <v>2863</v>
      </c>
      <c r="G7" s="26" t="n">
        <v>3107</v>
      </c>
      <c r="H7" s="26" t="n">
        <v>3365</v>
      </c>
      <c r="I7" s="26" t="n">
        <v>3521</v>
      </c>
      <c r="J7" s="26" t="n">
        <v>3381</v>
      </c>
      <c r="K7" s="26" t="n">
        <v>2882</v>
      </c>
    </row>
    <row r="8" customFormat="false" ht="15" hidden="false" customHeight="false" outlineLevel="0" collapsed="false">
      <c r="A8" s="13" t="s">
        <v>110</v>
      </c>
      <c r="B8" s="31" t="s">
        <v>111</v>
      </c>
      <c r="C8" s="16" t="n">
        <f aca="false">'Monthly Detail'!C9+'Monthly Detail'!C10</f>
        <v>1120</v>
      </c>
      <c r="D8" s="16" t="n">
        <f aca="false">'Monthly Detail'!D9+'Monthly Detail'!D10</f>
        <v>1088</v>
      </c>
      <c r="E8" s="16" t="n">
        <f aca="false">'Monthly Detail'!E9+'Monthly Detail'!E10</f>
        <v>1179</v>
      </c>
      <c r="F8" s="16" t="n">
        <f aca="false">'Monthly Detail'!F9+'Monthly Detail'!F10</f>
        <v>1237</v>
      </c>
      <c r="G8" s="16" t="n">
        <f aca="false">'Monthly Detail'!G9+'Monthly Detail'!G10</f>
        <v>1367</v>
      </c>
      <c r="H8" s="16" t="n">
        <f aca="false">'Monthly Detail'!H9+'Monthly Detail'!H10</f>
        <v>1504</v>
      </c>
      <c r="I8" s="16" t="n">
        <f aca="false">'Monthly Detail'!I9+'Monthly Detail'!I10</f>
        <v>1595</v>
      </c>
      <c r="J8" s="16" t="n">
        <f aca="false">'Monthly Detail'!J9+'Monthly Detail'!J10</f>
        <v>1552</v>
      </c>
      <c r="K8" s="16" t="n">
        <f aca="false">'Monthly Detail'!K9+'Monthly Detail'!K10</f>
        <v>1343</v>
      </c>
    </row>
    <row r="9" customFormat="false" ht="15" hidden="false" customHeight="false" outlineLevel="0" collapsed="false">
      <c r="A9" s="13" t="s">
        <v>112</v>
      </c>
      <c r="B9" s="31" t="s">
        <v>113</v>
      </c>
      <c r="C9" s="32" t="n">
        <f aca="false">IF(C7=0,0,C8*1000/C7)</f>
        <v>418.066442702501</v>
      </c>
      <c r="D9" s="32" t="n">
        <f aca="false">IF(D7=0,0,D8*1000/D7)</f>
        <v>421.052631578947</v>
      </c>
      <c r="E9" s="32" t="n">
        <f aca="false">IF(E7=0,0,E8*1000/E7)</f>
        <v>425.939306358382</v>
      </c>
      <c r="F9" s="32" t="n">
        <f aca="false">IF(F7=0,0,F8*1000/F7)</f>
        <v>432.064268250087</v>
      </c>
      <c r="G9" s="32" t="n">
        <f aca="false">IF(G7=0,0,G8*1000/G7)</f>
        <v>439.974251689733</v>
      </c>
      <c r="H9" s="32" t="n">
        <f aca="false">IF(H7=0,0,H8*1000/H7)</f>
        <v>446.953937592868</v>
      </c>
      <c r="I9" s="32" t="n">
        <f aca="false">IF(I7=0,0,I8*1000/I7)</f>
        <v>452.996307867083</v>
      </c>
      <c r="J9" s="32" t="n">
        <f aca="false">IF(J7=0,0,J8*1000/J7)</f>
        <v>459.035788228335</v>
      </c>
      <c r="K9" s="32" t="n">
        <f aca="false">IF(K7=0,0,K8*1000/K7)</f>
        <v>465.995836224844</v>
      </c>
    </row>
    <row r="10" customFormat="false" ht="15" hidden="false" customHeight="false" outlineLevel="0" collapsed="false">
      <c r="A10" s="13" t="s">
        <v>91</v>
      </c>
      <c r="B10" s="31" t="s">
        <v>109</v>
      </c>
      <c r="C10" s="26" t="n">
        <v>86</v>
      </c>
      <c r="D10" s="26" t="n">
        <v>80</v>
      </c>
      <c r="E10" s="26" t="n">
        <v>91</v>
      </c>
      <c r="F10" s="26" t="n">
        <v>97</v>
      </c>
      <c r="G10" s="26" t="n">
        <v>109</v>
      </c>
      <c r="H10" s="26" t="n">
        <v>125</v>
      </c>
      <c r="I10" s="26" t="n">
        <v>137</v>
      </c>
      <c r="J10" s="26" t="n">
        <v>142</v>
      </c>
      <c r="K10" s="26" t="n">
        <v>128</v>
      </c>
    </row>
    <row r="11" customFormat="false" ht="15" hidden="false" customHeight="false" outlineLevel="0" collapsed="false">
      <c r="A11" s="13" t="s">
        <v>92</v>
      </c>
      <c r="B11" s="31" t="s">
        <v>114</v>
      </c>
      <c r="C11" s="17" t="n">
        <f aca="false">IF(C7=0,0,C10/C7)</f>
        <v>0.0321015304217992</v>
      </c>
      <c r="D11" s="17" t="n">
        <f aca="false">IF(D7=0,0,D10/D7)</f>
        <v>0.0309597523219814</v>
      </c>
      <c r="E11" s="17" t="n">
        <f aca="false">IF(E7=0,0,E10/E7)</f>
        <v>0.0328757225433526</v>
      </c>
      <c r="F11" s="17" t="n">
        <f aca="false">IF(F7=0,0,F10/F7)</f>
        <v>0.0338805448829899</v>
      </c>
      <c r="G11" s="17" t="n">
        <f aca="false">IF(G7=0,0,G10/G7)</f>
        <v>0.0350820727389765</v>
      </c>
      <c r="H11" s="17" t="n">
        <f aca="false">IF(H7=0,0,H10/H7)</f>
        <v>0.037147102526003</v>
      </c>
      <c r="I11" s="17" t="n">
        <f aca="false">IF(I7=0,0,I10/I7)</f>
        <v>0.0389094007384266</v>
      </c>
      <c r="J11" s="17" t="n">
        <f aca="false">IF(J7=0,0,J10/J7)</f>
        <v>0.0419994084590358</v>
      </c>
      <c r="K11" s="17" t="n">
        <f aca="false">IF(K7=0,0,K10/K7)</f>
        <v>0.0444136016655101</v>
      </c>
    </row>
    <row r="12" customFormat="false" ht="15" hidden="false" customHeight="false" outlineLevel="0" collapsed="false">
      <c r="A12" s="12" t="s">
        <v>115</v>
      </c>
      <c r="B12" s="11"/>
      <c r="C12" s="11"/>
      <c r="D12" s="11"/>
      <c r="E12" s="11"/>
      <c r="F12" s="11"/>
      <c r="G12" s="11"/>
      <c r="H12" s="11"/>
      <c r="I12" s="11"/>
      <c r="J12" s="11"/>
      <c r="K12" s="11"/>
    </row>
    <row r="13" customFormat="false" ht="15" hidden="false" customHeight="false" outlineLevel="0" collapsed="false">
      <c r="A13" s="13" t="s">
        <v>116</v>
      </c>
      <c r="B13" s="31" t="s">
        <v>109</v>
      </c>
      <c r="C13" s="26" t="n">
        <v>90</v>
      </c>
      <c r="D13" s="26" t="n">
        <v>87</v>
      </c>
      <c r="E13" s="26" t="n">
        <v>97</v>
      </c>
      <c r="F13" s="26" t="n">
        <v>103</v>
      </c>
      <c r="G13" s="26" t="n">
        <v>115</v>
      </c>
      <c r="H13" s="26" t="n">
        <v>127</v>
      </c>
      <c r="I13" s="26" t="n">
        <v>136</v>
      </c>
      <c r="J13" s="26" t="n">
        <v>130</v>
      </c>
      <c r="K13" s="26" t="n">
        <v>109</v>
      </c>
    </row>
    <row r="14" customFormat="false" ht="15" hidden="false" customHeight="false" outlineLevel="0" collapsed="false">
      <c r="A14" s="13" t="s">
        <v>117</v>
      </c>
      <c r="B14" s="31" t="s">
        <v>113</v>
      </c>
      <c r="C14" s="32" t="n">
        <f aca="false">IF(C13=0,0,'Monthly Detail'!C8*1000/C13)</f>
        <v>11844.4444444444</v>
      </c>
      <c r="D14" s="32" t="n">
        <f aca="false">IF(D13=0,0,'Monthly Detail'!D8*1000/D13)</f>
        <v>11954.0229885057</v>
      </c>
      <c r="E14" s="32" t="n">
        <f aca="false">IF(E13=0,0,'Monthly Detail'!E8*1000/E13)</f>
        <v>11907.2164948454</v>
      </c>
      <c r="F14" s="32" t="n">
        <f aca="false">IF(F13=0,0,'Monthly Detail'!F8*1000/F13)</f>
        <v>12077.6699029126</v>
      </c>
      <c r="G14" s="32" t="n">
        <f aca="false">IF(G13=0,0,'Monthly Detail'!G8*1000/G13)</f>
        <v>12069.5652173913</v>
      </c>
      <c r="H14" s="32" t="n">
        <f aca="false">IF(H13=0,0,'Monthly Detail'!H8*1000/H13)</f>
        <v>12196.8503937008</v>
      </c>
      <c r="I14" s="32" t="n">
        <f aca="false">IF(I13=0,0,'Monthly Detail'!I8*1000/I13)</f>
        <v>12205.8823529412</v>
      </c>
      <c r="J14" s="32" t="n">
        <f aca="false">IF(J13=0,0,'Monthly Detail'!J8*1000/J13)</f>
        <v>12300</v>
      </c>
      <c r="K14" s="32" t="n">
        <f aca="false">IF(K13=0,0,'Monthly Detail'!K8*1000/K13)</f>
        <v>12403.6697247706</v>
      </c>
    </row>
    <row r="15" customFormat="false" ht="15" hidden="false" customHeight="false" outlineLevel="0" collapsed="false">
      <c r="A15" s="13" t="s">
        <v>118</v>
      </c>
      <c r="B15" s="31" t="s">
        <v>114</v>
      </c>
      <c r="C15" s="17" t="n">
        <f aca="false">IF('Monthly Detail'!C8=0,0,'Monthly Detail'!C20/'Monthly Detail'!C8)</f>
        <v>0.319887429643527</v>
      </c>
      <c r="D15" s="17" t="n">
        <f aca="false">IF('Monthly Detail'!D8=0,0,'Monthly Detail'!D20/'Monthly Detail'!D8)</f>
        <v>0.320192307692308</v>
      </c>
      <c r="E15" s="17" t="n">
        <f aca="false">IF('Monthly Detail'!E8=0,0,'Monthly Detail'!E20/'Monthly Detail'!E8)</f>
        <v>0.322077922077922</v>
      </c>
      <c r="F15" s="17" t="n">
        <f aca="false">IF('Monthly Detail'!F8=0,0,'Monthly Detail'!F20/'Monthly Detail'!F8)</f>
        <v>0.335209003215434</v>
      </c>
      <c r="G15" s="17" t="n">
        <f aca="false">IF('Monthly Detail'!G8=0,0,'Monthly Detail'!G20/'Monthly Detail'!G8)</f>
        <v>0.345100864553314</v>
      </c>
      <c r="H15" s="17" t="n">
        <f aca="false">IF('Monthly Detail'!H8=0,0,'Monthly Detail'!H20/'Monthly Detail'!H8)</f>
        <v>0.349903163331181</v>
      </c>
      <c r="I15" s="17" t="n">
        <f aca="false">IF('Monthly Detail'!I8=0,0,'Monthly Detail'!I20/'Monthly Detail'!I8)</f>
        <v>0.354819277108434</v>
      </c>
      <c r="J15" s="17" t="n">
        <f aca="false">IF('Monthly Detail'!J8=0,0,'Monthly Detail'!J20/'Monthly Detail'!J8)</f>
        <v>0.360225140712946</v>
      </c>
      <c r="K15" s="17" t="n">
        <f aca="false">IF('Monthly Detail'!K8=0,0,'Monthly Detail'!K20/'Monthly Detail'!K8)</f>
        <v>0.36612426035503</v>
      </c>
    </row>
    <row r="16" customFormat="false" ht="15" hidden="false" customHeight="false" outlineLevel="0" collapsed="false">
      <c r="A16" s="13" t="s">
        <v>119</v>
      </c>
      <c r="B16" s="31" t="s">
        <v>111</v>
      </c>
      <c r="C16" s="14" t="n">
        <v>610</v>
      </c>
      <c r="D16" s="14" t="n">
        <v>645</v>
      </c>
      <c r="E16" s="14" t="n">
        <v>720</v>
      </c>
      <c r="F16" s="14" t="n">
        <v>880</v>
      </c>
      <c r="G16" s="14" t="n">
        <v>1050</v>
      </c>
      <c r="H16" s="14" t="n">
        <v>1180</v>
      </c>
      <c r="I16" s="14" t="n">
        <v>1235</v>
      </c>
      <c r="J16" s="14" t="n">
        <v>1210</v>
      </c>
      <c r="K16" s="14" t="n">
        <v>1265</v>
      </c>
    </row>
    <row r="17" customFormat="false" ht="15" hidden="false" customHeight="false" outlineLevel="0" collapsed="false">
      <c r="A17" s="12" t="s">
        <v>120</v>
      </c>
      <c r="B17" s="11"/>
      <c r="C17" s="11"/>
      <c r="D17" s="11"/>
      <c r="E17" s="11"/>
      <c r="F17" s="11"/>
      <c r="G17" s="11"/>
      <c r="H17" s="11"/>
      <c r="I17" s="11"/>
      <c r="J17" s="11"/>
      <c r="K17" s="11"/>
    </row>
    <row r="18" customFormat="false" ht="15" hidden="false" customHeight="false" outlineLevel="0" collapsed="false">
      <c r="A18" s="13" t="s">
        <v>121</v>
      </c>
      <c r="B18" s="31" t="s">
        <v>109</v>
      </c>
      <c r="C18" s="26" t="n">
        <v>96</v>
      </c>
      <c r="D18" s="26" t="n">
        <v>96</v>
      </c>
      <c r="E18" s="26" t="n">
        <v>98</v>
      </c>
      <c r="F18" s="26" t="n">
        <v>101</v>
      </c>
      <c r="G18" s="26" t="n">
        <v>105</v>
      </c>
      <c r="H18" s="26" t="n">
        <v>109</v>
      </c>
      <c r="I18" s="26" t="n">
        <v>112</v>
      </c>
      <c r="J18" s="26" t="n">
        <v>112</v>
      </c>
      <c r="K18" s="26" t="n">
        <v>111</v>
      </c>
    </row>
    <row r="19" customFormat="false" ht="15" hidden="false" customHeight="false" outlineLevel="0" collapsed="false">
      <c r="A19" s="13" t="s">
        <v>93</v>
      </c>
      <c r="B19" s="31" t="s">
        <v>114</v>
      </c>
      <c r="C19" s="28" t="n">
        <v>0.712</v>
      </c>
      <c r="D19" s="28" t="n">
        <v>0.708</v>
      </c>
      <c r="E19" s="28" t="n">
        <v>0.716</v>
      </c>
      <c r="F19" s="28" t="n">
        <v>0.722</v>
      </c>
      <c r="G19" s="28" t="n">
        <v>0.731</v>
      </c>
      <c r="H19" s="28" t="n">
        <v>0.744</v>
      </c>
      <c r="I19" s="28" t="n">
        <v>0.748</v>
      </c>
      <c r="J19" s="28" t="n">
        <v>0.741</v>
      </c>
      <c r="K19" s="28" t="n">
        <v>0.738</v>
      </c>
    </row>
    <row r="20" customFormat="false" ht="15" hidden="false" customHeight="false" outlineLevel="0" collapsed="false">
      <c r="A20" s="13" t="s">
        <v>122</v>
      </c>
      <c r="B20" s="31" t="s">
        <v>114</v>
      </c>
      <c r="C20" s="17" t="n">
        <f aca="false">IF(('Monthly Detail'!C17+'Monthly Detail'!C18)=0,0,'Monthly Detail'!C18/('Monthly Detail'!C17+'Monthly Detail'!C18))</f>
        <v>0.0819672131147541</v>
      </c>
      <c r="D20" s="17" t="n">
        <f aca="false">IF(('Monthly Detail'!D17+'Monthly Detail'!D18)=0,0,'Monthly Detail'!D18/('Monthly Detail'!D17+'Monthly Detail'!D18))</f>
        <v>0.0822147651006712</v>
      </c>
      <c r="E20" s="17" t="n">
        <f aca="false">IF(('Monthly Detail'!E17+'Monthly Detail'!E18)=0,0,'Monthly Detail'!E18/('Monthly Detail'!E17+'Monthly Detail'!E18))</f>
        <v>0.0907692307692308</v>
      </c>
      <c r="F20" s="17" t="n">
        <f aca="false">IF(('Monthly Detail'!F17+'Monthly Detail'!F18)=0,0,'Monthly Detail'!F18/('Monthly Detail'!F17+'Monthly Detail'!F18))</f>
        <v>0.0995670995670996</v>
      </c>
      <c r="G20" s="17" t="n">
        <f aca="false">IF(('Monthly Detail'!G17+'Monthly Detail'!G18)=0,0,'Monthly Detail'!G18/('Monthly Detail'!G17+'Monthly Detail'!G18))</f>
        <v>0.122422680412371</v>
      </c>
      <c r="H20" s="17" t="n">
        <f aca="false">IF(('Monthly Detail'!H17+'Monthly Detail'!H18)=0,0,'Monthly Detail'!H18/('Monthly Detail'!H17+'Monthly Detail'!H18))</f>
        <v>0.152445961319681</v>
      </c>
      <c r="I20" s="17" t="n">
        <f aca="false">IF(('Monthly Detail'!I17+'Monthly Detail'!I18)=0,0,'Monthly Detail'!I18/('Monthly Detail'!I17+'Monthly Detail'!I18))</f>
        <v>0.174004192872117</v>
      </c>
      <c r="J20" s="17" t="n">
        <f aca="false">IF(('Monthly Detail'!J17+'Monthly Detail'!J18)=0,0,'Monthly Detail'!J18/('Monthly Detail'!J17+'Monthly Detail'!J18))</f>
        <v>0.186638388123012</v>
      </c>
      <c r="K20" s="17" t="n">
        <f aca="false">IF(('Monthly Detail'!K17+'Monthly Detail'!K18)=0,0,'Monthly Detail'!K18/('Monthly Detail'!K17+'Monthly Detail'!K18))</f>
        <v>0.196642685851319</v>
      </c>
    </row>
    <row r="21" customFormat="false" ht="15" hidden="false" customHeight="false" outlineLevel="0" collapsed="false">
      <c r="A21" s="12" t="s">
        <v>123</v>
      </c>
      <c r="B21" s="11"/>
      <c r="C21" s="11"/>
      <c r="D21" s="11"/>
      <c r="E21" s="11"/>
      <c r="F21" s="11"/>
      <c r="G21" s="11"/>
      <c r="H21" s="11"/>
      <c r="I21" s="11"/>
      <c r="J21" s="11"/>
      <c r="K21" s="11"/>
    </row>
    <row r="22" customFormat="false" ht="15" hidden="false" customHeight="false" outlineLevel="0" collapsed="false">
      <c r="A22" s="13" t="s">
        <v>124</v>
      </c>
      <c r="B22" s="31" t="s">
        <v>109</v>
      </c>
      <c r="C22" s="26" t="n">
        <v>1055</v>
      </c>
      <c r="D22" s="26" t="n">
        <v>1074</v>
      </c>
      <c r="E22" s="26" t="n">
        <v>1076</v>
      </c>
      <c r="F22" s="26" t="n">
        <v>1099</v>
      </c>
      <c r="G22" s="26" t="n">
        <v>1074</v>
      </c>
      <c r="H22" s="26" t="n">
        <v>1090</v>
      </c>
      <c r="I22" s="26" t="n">
        <v>1121</v>
      </c>
      <c r="J22" s="26" t="n">
        <v>1133</v>
      </c>
      <c r="K22" s="26" t="n">
        <v>1152</v>
      </c>
    </row>
    <row r="23" customFormat="false" ht="15" hidden="false" customHeight="false" outlineLevel="0" collapsed="false">
      <c r="A23" s="13" t="s">
        <v>125</v>
      </c>
      <c r="B23" s="31" t="s">
        <v>109</v>
      </c>
      <c r="C23" s="26" t="n">
        <v>886</v>
      </c>
      <c r="D23" s="26" t="n">
        <v>891</v>
      </c>
      <c r="E23" s="26" t="n">
        <v>904</v>
      </c>
      <c r="F23" s="26" t="n">
        <v>901</v>
      </c>
      <c r="G23" s="26" t="n">
        <v>848</v>
      </c>
      <c r="H23" s="26" t="n">
        <v>839</v>
      </c>
      <c r="I23" s="26" t="n">
        <v>841</v>
      </c>
      <c r="J23" s="26" t="n">
        <v>827</v>
      </c>
      <c r="K23" s="26" t="n">
        <v>818</v>
      </c>
    </row>
    <row r="24" customFormat="false" ht="15" hidden="false" customHeight="false" outlineLevel="0" collapsed="false">
      <c r="A24" s="13" t="s">
        <v>126</v>
      </c>
      <c r="B24" s="31" t="s">
        <v>114</v>
      </c>
      <c r="C24" s="17" t="n">
        <f aca="false">IF(C22=0,0,C23/C22)</f>
        <v>0.839810426540284</v>
      </c>
      <c r="D24" s="17" t="n">
        <f aca="false">IF(D22=0,0,D23/D22)</f>
        <v>0.829608938547486</v>
      </c>
      <c r="E24" s="17" t="n">
        <f aca="false">IF(E22=0,0,E23/E22)</f>
        <v>0.840148698884758</v>
      </c>
      <c r="F24" s="17" t="n">
        <f aca="false">IF(F22=0,0,F23/F22)</f>
        <v>0.819836214740673</v>
      </c>
      <c r="G24" s="17" t="n">
        <f aca="false">IF(G22=0,0,G23/G22)</f>
        <v>0.789571694599628</v>
      </c>
      <c r="H24" s="17" t="n">
        <f aca="false">IF(H22=0,0,H23/H22)</f>
        <v>0.769724770642202</v>
      </c>
      <c r="I24" s="17" t="n">
        <f aca="false">IF(I22=0,0,I23/I22)</f>
        <v>0.750223015165031</v>
      </c>
      <c r="J24" s="17" t="n">
        <f aca="false">IF(J22=0,0,J23/J22)</f>
        <v>0.729920564872021</v>
      </c>
      <c r="K24" s="17" t="n">
        <f aca="false">IF(K22=0,0,K23/K22)</f>
        <v>0.710069444444444</v>
      </c>
    </row>
    <row r="25" customFormat="false" ht="15" hidden="false" customHeight="false" outlineLevel="0" collapsed="false">
      <c r="A25" s="13" t="s">
        <v>127</v>
      </c>
      <c r="B25" s="31" t="s">
        <v>109</v>
      </c>
      <c r="C25" s="26" t="n">
        <v>210</v>
      </c>
      <c r="D25" s="26" t="n">
        <v>200</v>
      </c>
      <c r="E25" s="26" t="n">
        <v>260</v>
      </c>
      <c r="F25" s="26" t="n">
        <v>300</v>
      </c>
      <c r="G25" s="26" t="n">
        <v>360</v>
      </c>
      <c r="H25" s="26" t="n">
        <v>420</v>
      </c>
      <c r="I25" s="26" t="n">
        <v>440</v>
      </c>
      <c r="J25" s="26" t="n">
        <v>410</v>
      </c>
      <c r="K25" s="26" t="n">
        <v>330</v>
      </c>
    </row>
    <row r="26" customFormat="false" ht="15" hidden="false" customHeight="false" outlineLevel="0" collapsed="false">
      <c r="A26" s="13" t="s">
        <v>128</v>
      </c>
      <c r="B26" s="31" t="s">
        <v>109</v>
      </c>
      <c r="C26" s="26" t="n">
        <v>12891</v>
      </c>
      <c r="D26" s="26" t="n">
        <v>12908</v>
      </c>
      <c r="E26" s="26" t="n">
        <v>12996</v>
      </c>
      <c r="F26" s="26" t="n">
        <v>13098</v>
      </c>
      <c r="G26" s="26" t="n">
        <v>13232</v>
      </c>
      <c r="H26" s="26" t="n">
        <v>13401</v>
      </c>
      <c r="I26" s="26" t="n">
        <v>13561</v>
      </c>
      <c r="J26" s="26" t="n">
        <v>13665</v>
      </c>
      <c r="K26" s="26" t="n">
        <v>13661</v>
      </c>
    </row>
  </sheetData>
  <mergeCells count="3">
    <mergeCell ref="A1:K1"/>
    <mergeCell ref="A2:K2"/>
    <mergeCell ref="A3:K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7"/>
    <col collapsed="false" customWidth="true" hidden="false" outlineLevel="0" max="8" min="3" style="0" width="11"/>
  </cols>
  <sheetData>
    <row r="1" customFormat="false" ht="17.35" hidden="false" customHeight="false" outlineLevel="0" collapsed="false">
      <c r="A1" s="5" t="s">
        <v>14</v>
      </c>
      <c r="B1" s="5"/>
      <c r="C1" s="5"/>
      <c r="D1" s="5"/>
      <c r="E1" s="5"/>
      <c r="F1" s="5"/>
      <c r="G1" s="5"/>
      <c r="H1" s="5"/>
    </row>
    <row r="2" customFormat="false" ht="15" hidden="false" customHeight="false" outlineLevel="0" collapsed="false">
      <c r="A2" s="6" t="s">
        <v>129</v>
      </c>
      <c r="B2" s="6"/>
      <c r="C2" s="6"/>
      <c r="D2" s="6"/>
      <c r="E2" s="6"/>
      <c r="F2" s="6"/>
      <c r="G2" s="6"/>
      <c r="H2" s="6"/>
    </row>
    <row r="3" customFormat="false" ht="15" hidden="false" customHeight="false" outlineLevel="0" collapsed="false">
      <c r="A3" s="7" t="s">
        <v>130</v>
      </c>
      <c r="B3" s="7"/>
      <c r="C3" s="7"/>
      <c r="D3" s="7"/>
      <c r="E3" s="7"/>
      <c r="F3" s="7"/>
      <c r="G3" s="7"/>
      <c r="H3" s="7"/>
    </row>
    <row r="4" customFormat="false" ht="15" hidden="false" customHeight="false" outlineLevel="0" collapsed="false">
      <c r="A4" s="8" t="s">
        <v>17</v>
      </c>
      <c r="B4" s="8"/>
      <c r="C4" s="8"/>
      <c r="D4" s="8"/>
      <c r="E4" s="8"/>
      <c r="F4" s="8"/>
      <c r="G4" s="8"/>
      <c r="H4" s="8"/>
    </row>
    <row r="6" customFormat="false" ht="15" hidden="false" customHeight="false" outlineLevel="0" collapsed="false">
      <c r="A6" s="30" t="s">
        <v>131</v>
      </c>
      <c r="B6" s="30" t="s">
        <v>132</v>
      </c>
      <c r="C6" s="30" t="s">
        <v>133</v>
      </c>
      <c r="D6" s="30" t="s">
        <v>134</v>
      </c>
      <c r="E6" s="30" t="s">
        <v>135</v>
      </c>
      <c r="F6" s="30" t="s">
        <v>136</v>
      </c>
      <c r="G6" s="30" t="s">
        <v>137</v>
      </c>
      <c r="H6" s="30" t="s">
        <v>138</v>
      </c>
    </row>
    <row r="7" customFormat="false" ht="15" hidden="false" customHeight="false" outlineLevel="0" collapsed="false">
      <c r="A7" s="13" t="s">
        <v>139</v>
      </c>
      <c r="B7" s="31" t="s">
        <v>140</v>
      </c>
      <c r="C7" s="14" t="n">
        <v>612</v>
      </c>
      <c r="D7" s="14" t="n">
        <v>18</v>
      </c>
      <c r="E7" s="14" t="n">
        <v>0</v>
      </c>
      <c r="F7" s="14" t="n">
        <v>0</v>
      </c>
      <c r="G7" s="33" t="n">
        <f aca="false">SUM(C7:F7)</f>
        <v>630</v>
      </c>
      <c r="H7" s="21" t="n">
        <f aca="false">IF($G$15=0,0,G7/$G$15)</f>
        <v>0.253623188405797</v>
      </c>
    </row>
    <row r="8" customFormat="false" ht="15" hidden="false" customHeight="false" outlineLevel="0" collapsed="false">
      <c r="A8" s="13" t="s">
        <v>141</v>
      </c>
      <c r="B8" s="31" t="s">
        <v>142</v>
      </c>
      <c r="C8" s="14" t="n">
        <v>176</v>
      </c>
      <c r="D8" s="14" t="n">
        <v>88</v>
      </c>
      <c r="E8" s="14" t="n">
        <v>31</v>
      </c>
      <c r="F8" s="14" t="n">
        <v>12</v>
      </c>
      <c r="G8" s="33" t="n">
        <f aca="false">SUM(C8:F8)</f>
        <v>307</v>
      </c>
      <c r="H8" s="21" t="n">
        <f aca="false">IF($G$15=0,0,G8/$G$15)</f>
        <v>0.123590982286634</v>
      </c>
    </row>
    <row r="9" customFormat="false" ht="15" hidden="false" customHeight="false" outlineLevel="0" collapsed="false">
      <c r="A9" s="13" t="s">
        <v>143</v>
      </c>
      <c r="B9" s="31" t="s">
        <v>142</v>
      </c>
      <c r="C9" s="14" t="n">
        <v>104</v>
      </c>
      <c r="D9" s="14" t="n">
        <v>42</v>
      </c>
      <c r="E9" s="14" t="n">
        <v>15</v>
      </c>
      <c r="F9" s="14" t="n">
        <v>6</v>
      </c>
      <c r="G9" s="33" t="n">
        <f aca="false">SUM(C9:F9)</f>
        <v>167</v>
      </c>
      <c r="H9" s="21" t="n">
        <f aca="false">IF($G$15=0,0,G9/$G$15)</f>
        <v>0.0672302737520129</v>
      </c>
    </row>
    <row r="10" customFormat="false" ht="15" hidden="false" customHeight="false" outlineLevel="0" collapsed="false">
      <c r="A10" s="13" t="s">
        <v>144</v>
      </c>
      <c r="B10" s="31" t="s">
        <v>145</v>
      </c>
      <c r="C10" s="14" t="n">
        <v>58</v>
      </c>
      <c r="D10" s="14" t="n">
        <v>46</v>
      </c>
      <c r="E10" s="14" t="n">
        <v>71</v>
      </c>
      <c r="F10" s="14" t="n">
        <v>292</v>
      </c>
      <c r="G10" s="33" t="n">
        <f aca="false">SUM(C10:F10)</f>
        <v>467</v>
      </c>
      <c r="H10" s="21" t="n">
        <f aca="false">IF($G$15=0,0,G10/$G$15)</f>
        <v>0.188003220611916</v>
      </c>
    </row>
    <row r="11" customFormat="false" ht="15" hidden="false" customHeight="false" outlineLevel="0" collapsed="false">
      <c r="A11" s="13" t="s">
        <v>146</v>
      </c>
      <c r="B11" s="31" t="s">
        <v>145</v>
      </c>
      <c r="C11" s="14" t="n">
        <v>121</v>
      </c>
      <c r="D11" s="14" t="n">
        <v>37</v>
      </c>
      <c r="E11" s="14" t="n">
        <v>0</v>
      </c>
      <c r="F11" s="14" t="n">
        <v>0</v>
      </c>
      <c r="G11" s="33" t="n">
        <f aca="false">SUM(C11:F11)</f>
        <v>158</v>
      </c>
      <c r="H11" s="21" t="n">
        <f aca="false">IF($G$15=0,0,G11/$G$15)</f>
        <v>0.0636070853462158</v>
      </c>
    </row>
    <row r="12" customFormat="false" ht="15" hidden="false" customHeight="false" outlineLevel="0" collapsed="false">
      <c r="A12" s="13" t="s">
        <v>147</v>
      </c>
      <c r="B12" s="31" t="s">
        <v>148</v>
      </c>
      <c r="C12" s="14" t="n">
        <v>196</v>
      </c>
      <c r="D12" s="14" t="n">
        <v>61</v>
      </c>
      <c r="E12" s="14" t="n">
        <v>18</v>
      </c>
      <c r="F12" s="14" t="n">
        <v>9</v>
      </c>
      <c r="G12" s="33" t="n">
        <f aca="false">SUM(C12:F12)</f>
        <v>284</v>
      </c>
      <c r="H12" s="21" t="n">
        <f aca="false">IF($G$15=0,0,G12/$G$15)</f>
        <v>0.114331723027375</v>
      </c>
    </row>
    <row r="13" customFormat="false" ht="15" hidden="false" customHeight="false" outlineLevel="0" collapsed="false">
      <c r="A13" s="13" t="s">
        <v>149</v>
      </c>
      <c r="B13" s="31" t="s">
        <v>148</v>
      </c>
      <c r="C13" s="14" t="n">
        <v>88</v>
      </c>
      <c r="D13" s="14" t="n">
        <v>24</v>
      </c>
      <c r="E13" s="14" t="n">
        <v>9</v>
      </c>
      <c r="F13" s="14" t="n">
        <v>4</v>
      </c>
      <c r="G13" s="33" t="n">
        <f aca="false">SUM(C13:F13)</f>
        <v>125</v>
      </c>
      <c r="H13" s="21" t="n">
        <f aca="false">IF($G$15=0,0,G13/$G$15)</f>
        <v>0.0503220611916264</v>
      </c>
    </row>
    <row r="14" customFormat="false" ht="15" hidden="false" customHeight="false" outlineLevel="0" collapsed="false">
      <c r="A14" s="13" t="s">
        <v>150</v>
      </c>
      <c r="B14" s="31" t="s">
        <v>151</v>
      </c>
      <c r="C14" s="14" t="n">
        <v>214</v>
      </c>
      <c r="D14" s="14" t="n">
        <v>63</v>
      </c>
      <c r="E14" s="14" t="n">
        <v>28</v>
      </c>
      <c r="F14" s="14" t="n">
        <v>41</v>
      </c>
      <c r="G14" s="33" t="n">
        <f aca="false">SUM(C14:F14)</f>
        <v>346</v>
      </c>
      <c r="H14" s="21" t="n">
        <f aca="false">IF($G$15=0,0,G14/$G$15)</f>
        <v>0.139291465378422</v>
      </c>
    </row>
    <row r="15" customFormat="false" ht="15" hidden="false" customHeight="false" outlineLevel="0" collapsed="false">
      <c r="A15" s="18" t="s">
        <v>152</v>
      </c>
      <c r="C15" s="19" t="n">
        <f aca="false">SUM(C7:C14)</f>
        <v>1569</v>
      </c>
      <c r="D15" s="19" t="n">
        <f aca="false">SUM(D7:D14)</f>
        <v>379</v>
      </c>
      <c r="E15" s="19" t="n">
        <f aca="false">SUM(E7:E14)</f>
        <v>172</v>
      </c>
      <c r="F15" s="19" t="n">
        <f aca="false">SUM(F7:F14)</f>
        <v>364</v>
      </c>
      <c r="G15" s="19" t="n">
        <f aca="false">SUM(G7:G14)</f>
        <v>2484</v>
      </c>
      <c r="H15" s="21" t="n">
        <f aca="false">IF($G$15=0,0,G15/$G$15)</f>
        <v>1</v>
      </c>
    </row>
    <row r="16" customFormat="false" ht="15" hidden="false" customHeight="false" outlineLevel="0" collapsed="false">
      <c r="A16" s="31" t="s">
        <v>153</v>
      </c>
      <c r="C16" s="21" t="n">
        <f aca="false">IF($G$15=0,0,C15/$G$15)</f>
        <v>0.631642512077295</v>
      </c>
      <c r="D16" s="21" t="n">
        <f aca="false">IF($G$15=0,0,D15/$G$15)</f>
        <v>0.152576489533011</v>
      </c>
      <c r="E16" s="21" t="n">
        <f aca="false">IF($G$15=0,0,E15/$G$15)</f>
        <v>0.0692431561996779</v>
      </c>
      <c r="F16" s="21" t="n">
        <f aca="false">IF($G$15=0,0,F15/$G$15)</f>
        <v>0.146537842190016</v>
      </c>
    </row>
    <row r="18" customFormat="false" ht="15" hidden="false" customHeight="false" outlineLevel="0" collapsed="false">
      <c r="A18" s="18" t="s">
        <v>154</v>
      </c>
    </row>
    <row r="19" customFormat="false" ht="15" hidden="false" customHeight="false" outlineLevel="0" collapsed="false">
      <c r="A19" s="13" t="s">
        <v>155</v>
      </c>
      <c r="G19" s="16" t="n">
        <f aca="false">G15</f>
        <v>2484</v>
      </c>
    </row>
    <row r="20" customFormat="false" ht="15" hidden="false" customHeight="false" outlineLevel="0" collapsed="false">
      <c r="A20" s="13" t="s">
        <v>156</v>
      </c>
      <c r="G20" s="14" t="n">
        <v>2484</v>
      </c>
    </row>
    <row r="21" customFormat="false" ht="15" hidden="false" customHeight="false" outlineLevel="0" collapsed="false">
      <c r="A21" s="13" t="s">
        <v>157</v>
      </c>
      <c r="G21" s="16" t="n">
        <f aca="false">G19-G20</f>
        <v>0</v>
      </c>
    </row>
    <row r="22" customFormat="false" ht="15" hidden="false" customHeight="false" outlineLevel="0" collapsed="false">
      <c r="A22" s="13" t="s">
        <v>158</v>
      </c>
      <c r="G22" s="14" t="n">
        <v>-35</v>
      </c>
    </row>
    <row r="23" customFormat="false" ht="15" hidden="false" customHeight="false" outlineLevel="0" collapsed="false">
      <c r="A23" s="18" t="s">
        <v>159</v>
      </c>
      <c r="G23" s="16" t="n">
        <f aca="false">G20+G22</f>
        <v>2449</v>
      </c>
    </row>
    <row r="25" customFormat="false" ht="15" hidden="false" customHeight="false" outlineLevel="0" collapsed="false">
      <c r="A25" s="18" t="s">
        <v>160</v>
      </c>
    </row>
    <row r="26" customFormat="false" ht="15" hidden="false" customHeight="false" outlineLevel="0" collapsed="false">
      <c r="A26" s="34"/>
      <c r="B26" s="34"/>
      <c r="C26" s="34" t="s">
        <v>103</v>
      </c>
      <c r="D26" s="34" t="s">
        <v>104</v>
      </c>
      <c r="E26" s="34" t="s">
        <v>105</v>
      </c>
      <c r="F26" s="34" t="s">
        <v>106</v>
      </c>
    </row>
    <row r="27" customFormat="false" ht="15" hidden="false" customHeight="false" outlineLevel="0" collapsed="false">
      <c r="A27" s="13" t="s">
        <v>161</v>
      </c>
      <c r="C27" s="33" t="n">
        <v>2010</v>
      </c>
      <c r="D27" s="33" t="n">
        <v>2085</v>
      </c>
      <c r="E27" s="33" t="n">
        <v>2240</v>
      </c>
      <c r="F27" s="33" t="n">
        <f aca="false">G15</f>
        <v>2484</v>
      </c>
    </row>
    <row r="28" customFormat="false" ht="15" hidden="false" customHeight="false" outlineLevel="0" collapsed="false">
      <c r="A28" s="13" t="s">
        <v>162</v>
      </c>
      <c r="C28" s="33" t="n">
        <v>118</v>
      </c>
      <c r="D28" s="33" t="n">
        <v>142</v>
      </c>
      <c r="E28" s="33" t="n">
        <v>219</v>
      </c>
      <c r="F28" s="33" t="n">
        <f aca="false">F15</f>
        <v>364</v>
      </c>
    </row>
    <row r="29" customFormat="false" ht="15" hidden="false" customHeight="false" outlineLevel="0" collapsed="false">
      <c r="A29" s="13" t="s">
        <v>163</v>
      </c>
      <c r="C29" s="33" t="n">
        <f aca="false">'Monthly Detail'!H14</f>
        <v>3665</v>
      </c>
      <c r="D29" s="33" t="n">
        <f aca="false">'Monthly Detail'!I14</f>
        <v>3880</v>
      </c>
      <c r="E29" s="33" t="n">
        <f aca="false">'Monthly Detail'!J14</f>
        <v>3775</v>
      </c>
      <c r="F29" s="33" t="n">
        <f aca="false">'Monthly Detail'!K14</f>
        <v>3298</v>
      </c>
    </row>
    <row r="30" customFormat="false" ht="15" hidden="false" customHeight="false" outlineLevel="0" collapsed="false">
      <c r="A30" s="13" t="s">
        <v>164</v>
      </c>
      <c r="C30" s="35" t="n">
        <f aca="false">IF(C29=0,0,C27/C29*30)</f>
        <v>16.4529331514325</v>
      </c>
      <c r="D30" s="35" t="n">
        <f aca="false">IF(D29=0,0,D27/D29*30)</f>
        <v>16.1211340206186</v>
      </c>
      <c r="E30" s="35" t="n">
        <f aca="false">IF(E29=0,0,E27/E29*30)</f>
        <v>17.8013245033113</v>
      </c>
      <c r="F30" s="35" t="n">
        <f aca="false">IF(F29=0,0,F27/F29*30)</f>
        <v>22.5955124317768</v>
      </c>
    </row>
  </sheetData>
  <mergeCells count="4">
    <mergeCell ref="A1:H1"/>
    <mergeCell ref="A2:H2"/>
    <mergeCell ref="A3:H3"/>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12" min="3" style="0" width="10"/>
  </cols>
  <sheetData>
    <row r="1" customFormat="false" ht="17.35" hidden="false" customHeight="false" outlineLevel="0" collapsed="false">
      <c r="A1" s="5" t="s">
        <v>14</v>
      </c>
      <c r="B1" s="5"/>
      <c r="C1" s="5"/>
      <c r="D1" s="5"/>
      <c r="E1" s="5"/>
      <c r="F1" s="5"/>
      <c r="G1" s="5"/>
      <c r="H1" s="5"/>
      <c r="I1" s="5"/>
      <c r="J1" s="5"/>
      <c r="K1" s="5"/>
      <c r="L1" s="5"/>
    </row>
    <row r="2" customFormat="false" ht="15" hidden="false" customHeight="false" outlineLevel="0" collapsed="false">
      <c r="A2" s="36" t="s">
        <v>165</v>
      </c>
      <c r="B2" s="36"/>
      <c r="C2" s="36"/>
      <c r="D2" s="36"/>
      <c r="E2" s="36"/>
      <c r="F2" s="36"/>
      <c r="G2" s="36"/>
      <c r="H2" s="36"/>
      <c r="I2" s="36"/>
      <c r="J2" s="36"/>
      <c r="K2" s="36"/>
      <c r="L2" s="36"/>
    </row>
    <row r="3" customFormat="false" ht="15" hidden="false" customHeight="false" outlineLevel="0" collapsed="false">
      <c r="A3" s="7" t="s">
        <v>130</v>
      </c>
      <c r="B3" s="7"/>
      <c r="C3" s="7"/>
      <c r="D3" s="7"/>
      <c r="E3" s="7"/>
      <c r="F3" s="7"/>
      <c r="G3" s="7"/>
      <c r="H3" s="7"/>
      <c r="I3" s="7"/>
      <c r="J3" s="7"/>
      <c r="K3" s="7"/>
      <c r="L3" s="7"/>
    </row>
    <row r="4" customFormat="false" ht="15" hidden="false" customHeight="false" outlineLevel="0" collapsed="false">
      <c r="A4" s="8" t="s">
        <v>17</v>
      </c>
      <c r="B4" s="8"/>
      <c r="C4" s="8"/>
      <c r="D4" s="8"/>
      <c r="E4" s="8"/>
      <c r="F4" s="8"/>
      <c r="G4" s="8"/>
      <c r="H4" s="8"/>
      <c r="I4" s="8"/>
      <c r="J4" s="8"/>
      <c r="K4" s="8"/>
      <c r="L4" s="8"/>
    </row>
    <row r="6" customFormat="false" ht="15" hidden="false" customHeight="false" outlineLevel="0" collapsed="false">
      <c r="A6" s="30" t="s">
        <v>20</v>
      </c>
      <c r="B6" s="30" t="s">
        <v>21</v>
      </c>
      <c r="C6" s="30" t="s">
        <v>98</v>
      </c>
      <c r="D6" s="30" t="s">
        <v>99</v>
      </c>
      <c r="E6" s="30" t="s">
        <v>100</v>
      </c>
      <c r="F6" s="30" t="s">
        <v>101</v>
      </c>
      <c r="G6" s="30" t="s">
        <v>102</v>
      </c>
      <c r="H6" s="30" t="s">
        <v>103</v>
      </c>
      <c r="I6" s="30" t="s">
        <v>104</v>
      </c>
      <c r="J6" s="30" t="s">
        <v>105</v>
      </c>
      <c r="K6" s="30" t="s">
        <v>106</v>
      </c>
      <c r="L6" s="30" t="s">
        <v>166</v>
      </c>
    </row>
    <row r="7" customFormat="false" ht="15" hidden="false" customHeight="false" outlineLevel="0" collapsed="false">
      <c r="B7" s="18" t="s">
        <v>167</v>
      </c>
    </row>
    <row r="8" customFormat="false" ht="15" hidden="false" customHeight="false" outlineLevel="0" collapsed="false">
      <c r="A8" s="13" t="n">
        <v>4010</v>
      </c>
      <c r="B8" s="13" t="s">
        <v>32</v>
      </c>
      <c r="C8" s="14" t="n">
        <v>1066</v>
      </c>
      <c r="D8" s="14" t="n">
        <v>1040</v>
      </c>
      <c r="E8" s="14" t="n">
        <v>1155</v>
      </c>
      <c r="F8" s="14" t="n">
        <v>1244</v>
      </c>
      <c r="G8" s="14" t="n">
        <v>1388</v>
      </c>
      <c r="H8" s="14" t="n">
        <v>1549</v>
      </c>
      <c r="I8" s="14" t="n">
        <v>1660</v>
      </c>
      <c r="J8" s="14" t="n">
        <v>1599</v>
      </c>
      <c r="K8" s="14" t="n">
        <v>1352</v>
      </c>
      <c r="L8" s="16" t="n">
        <f aca="false">SUM(C8:K8)</f>
        <v>12053</v>
      </c>
    </row>
    <row r="9" customFormat="false" ht="15" hidden="false" customHeight="false" outlineLevel="0" collapsed="false">
      <c r="A9" s="13" t="n">
        <v>4020</v>
      </c>
      <c r="B9" s="13" t="s">
        <v>33</v>
      </c>
      <c r="C9" s="14" t="n">
        <v>612</v>
      </c>
      <c r="D9" s="14" t="n">
        <v>588</v>
      </c>
      <c r="E9" s="14" t="n">
        <v>653</v>
      </c>
      <c r="F9" s="14" t="n">
        <v>701</v>
      </c>
      <c r="G9" s="14" t="n">
        <v>790</v>
      </c>
      <c r="H9" s="14" t="n">
        <v>893</v>
      </c>
      <c r="I9" s="14" t="n">
        <v>961</v>
      </c>
      <c r="J9" s="14" t="n">
        <v>933</v>
      </c>
      <c r="K9" s="14" t="n">
        <v>777</v>
      </c>
      <c r="L9" s="16" t="n">
        <f aca="false">SUM(C9:K9)</f>
        <v>6908</v>
      </c>
    </row>
    <row r="10" customFormat="false" ht="15" hidden="false" customHeight="false" outlineLevel="0" collapsed="false">
      <c r="A10" s="13" t="n">
        <v>4110</v>
      </c>
      <c r="B10" s="13" t="s">
        <v>34</v>
      </c>
      <c r="C10" s="14" t="n">
        <v>508</v>
      </c>
      <c r="D10" s="14" t="n">
        <v>500</v>
      </c>
      <c r="E10" s="14" t="n">
        <v>526</v>
      </c>
      <c r="F10" s="14" t="n">
        <v>536</v>
      </c>
      <c r="G10" s="14" t="n">
        <v>577</v>
      </c>
      <c r="H10" s="14" t="n">
        <v>611</v>
      </c>
      <c r="I10" s="14" t="n">
        <v>634</v>
      </c>
      <c r="J10" s="14" t="n">
        <v>619</v>
      </c>
      <c r="K10" s="14" t="n">
        <v>566</v>
      </c>
      <c r="L10" s="16" t="n">
        <f aca="false">SUM(C10:K10)</f>
        <v>5077</v>
      </c>
    </row>
    <row r="11" customFormat="false" ht="15" hidden="false" customHeight="false" outlineLevel="0" collapsed="false">
      <c r="A11" s="13" t="n">
        <v>4120</v>
      </c>
      <c r="B11" s="13" t="s">
        <v>35</v>
      </c>
      <c r="C11" s="14" t="n">
        <v>306</v>
      </c>
      <c r="D11" s="14" t="n">
        <v>297</v>
      </c>
      <c r="E11" s="14" t="n">
        <v>313</v>
      </c>
      <c r="F11" s="14" t="n">
        <v>325</v>
      </c>
      <c r="G11" s="14" t="n">
        <v>334</v>
      </c>
      <c r="H11" s="14" t="n">
        <v>352</v>
      </c>
      <c r="I11" s="14" t="n">
        <v>364</v>
      </c>
      <c r="J11" s="14" t="n">
        <v>358</v>
      </c>
      <c r="K11" s="14" t="n">
        <v>329</v>
      </c>
      <c r="L11" s="16" t="n">
        <f aca="false">SUM(C11:K11)</f>
        <v>2978</v>
      </c>
    </row>
    <row r="12" customFormat="false" ht="15" hidden="false" customHeight="false" outlineLevel="0" collapsed="false">
      <c r="A12" s="13" t="n">
        <v>4210</v>
      </c>
      <c r="B12" s="13" t="s">
        <v>36</v>
      </c>
      <c r="C12" s="14" t="n">
        <v>309</v>
      </c>
      <c r="D12" s="14" t="n">
        <v>310</v>
      </c>
      <c r="E12" s="14" t="n">
        <v>311</v>
      </c>
      <c r="F12" s="14" t="n">
        <v>313</v>
      </c>
      <c r="G12" s="14" t="n">
        <v>316</v>
      </c>
      <c r="H12" s="14" t="n">
        <v>320</v>
      </c>
      <c r="I12" s="14" t="n">
        <v>324</v>
      </c>
      <c r="J12" s="14" t="n">
        <v>327</v>
      </c>
      <c r="K12" s="14" t="n">
        <v>328</v>
      </c>
      <c r="L12" s="16" t="n">
        <f aca="false">SUM(C12:K12)</f>
        <v>2858</v>
      </c>
    </row>
    <row r="13" customFormat="false" ht="15" hidden="false" customHeight="false" outlineLevel="0" collapsed="false">
      <c r="A13" s="13" t="n">
        <v>4900</v>
      </c>
      <c r="B13" s="13" t="s">
        <v>37</v>
      </c>
      <c r="C13" s="14" t="n">
        <v>-45</v>
      </c>
      <c r="D13" s="14" t="n">
        <v>-44</v>
      </c>
      <c r="E13" s="14" t="n">
        <v>-47</v>
      </c>
      <c r="F13" s="14" t="n">
        <v>-50</v>
      </c>
      <c r="G13" s="14" t="n">
        <v>-54</v>
      </c>
      <c r="H13" s="14" t="n">
        <v>-60</v>
      </c>
      <c r="I13" s="14" t="n">
        <v>-63</v>
      </c>
      <c r="J13" s="14" t="n">
        <v>-61</v>
      </c>
      <c r="K13" s="14" t="n">
        <v>-54</v>
      </c>
      <c r="L13" s="16" t="n">
        <f aca="false">SUM(C13:K13)</f>
        <v>-478</v>
      </c>
    </row>
    <row r="14" customFormat="false" ht="15" hidden="false" customHeight="false" outlineLevel="0" collapsed="false">
      <c r="B14" s="18" t="s">
        <v>38</v>
      </c>
      <c r="C14" s="19" t="n">
        <f aca="false">SUM(C8:C13)</f>
        <v>2756</v>
      </c>
      <c r="D14" s="19" t="n">
        <f aca="false">SUM(D8:D13)</f>
        <v>2691</v>
      </c>
      <c r="E14" s="19" t="n">
        <f aca="false">SUM(E8:E13)</f>
        <v>2911</v>
      </c>
      <c r="F14" s="19" t="n">
        <f aca="false">SUM(F8:F13)</f>
        <v>3069</v>
      </c>
      <c r="G14" s="19" t="n">
        <f aca="false">SUM(G8:G13)</f>
        <v>3351</v>
      </c>
      <c r="H14" s="19" t="n">
        <f aca="false">SUM(H8:H13)</f>
        <v>3665</v>
      </c>
      <c r="I14" s="19" t="n">
        <f aca="false">SUM(I8:I13)</f>
        <v>3880</v>
      </c>
      <c r="J14" s="19" t="n">
        <f aca="false">SUM(J8:J13)</f>
        <v>3775</v>
      </c>
      <c r="K14" s="19" t="n">
        <f aca="false">SUM(K8:K13)</f>
        <v>3298</v>
      </c>
      <c r="L14" s="19" t="n">
        <f aca="false">SUM(L8:L13)</f>
        <v>29396</v>
      </c>
    </row>
    <row r="16" customFormat="false" ht="15" hidden="false" customHeight="false" outlineLevel="0" collapsed="false">
      <c r="B16" s="18" t="s">
        <v>80</v>
      </c>
    </row>
    <row r="17" customFormat="false" ht="15" hidden="false" customHeight="false" outlineLevel="0" collapsed="false">
      <c r="A17" s="13" t="n">
        <v>5010</v>
      </c>
      <c r="B17" s="13" t="s">
        <v>40</v>
      </c>
      <c r="C17" s="14" t="n">
        <v>560</v>
      </c>
      <c r="D17" s="14" t="n">
        <v>547</v>
      </c>
      <c r="E17" s="14" t="n">
        <v>591</v>
      </c>
      <c r="F17" s="14" t="n">
        <v>624</v>
      </c>
      <c r="G17" s="14" t="n">
        <v>681</v>
      </c>
      <c r="H17" s="14" t="n">
        <v>745</v>
      </c>
      <c r="I17" s="14" t="n">
        <v>788</v>
      </c>
      <c r="J17" s="14" t="n">
        <v>767</v>
      </c>
      <c r="K17" s="14" t="n">
        <v>670</v>
      </c>
      <c r="L17" s="16" t="n">
        <f aca="false">SUM(C17:K17)</f>
        <v>5973</v>
      </c>
    </row>
    <row r="18" customFormat="false" ht="15" hidden="false" customHeight="false" outlineLevel="0" collapsed="false">
      <c r="A18" s="13" t="n">
        <v>5020</v>
      </c>
      <c r="B18" s="13" t="s">
        <v>41</v>
      </c>
      <c r="C18" s="14" t="n">
        <v>50</v>
      </c>
      <c r="D18" s="14" t="n">
        <v>49</v>
      </c>
      <c r="E18" s="14" t="n">
        <v>59</v>
      </c>
      <c r="F18" s="14" t="n">
        <v>69</v>
      </c>
      <c r="G18" s="14" t="n">
        <v>95</v>
      </c>
      <c r="H18" s="14" t="n">
        <v>134</v>
      </c>
      <c r="I18" s="14" t="n">
        <v>166</v>
      </c>
      <c r="J18" s="14" t="n">
        <v>176</v>
      </c>
      <c r="K18" s="14" t="n">
        <v>164</v>
      </c>
      <c r="L18" s="16" t="n">
        <f aca="false">SUM(C18:K18)</f>
        <v>962</v>
      </c>
    </row>
    <row r="19" customFormat="false" ht="15" hidden="false" customHeight="false" outlineLevel="0" collapsed="false">
      <c r="A19" s="13" t="n">
        <v>5030</v>
      </c>
      <c r="B19" s="13" t="s">
        <v>42</v>
      </c>
      <c r="C19" s="14" t="n">
        <v>128</v>
      </c>
      <c r="D19" s="14" t="n">
        <v>125</v>
      </c>
      <c r="E19" s="14" t="n">
        <v>137</v>
      </c>
      <c r="F19" s="14" t="n">
        <v>145</v>
      </c>
      <c r="G19" s="14" t="n">
        <v>163</v>
      </c>
      <c r="H19" s="14" t="n">
        <v>185</v>
      </c>
      <c r="I19" s="14" t="n">
        <v>200</v>
      </c>
      <c r="J19" s="14" t="n">
        <v>198</v>
      </c>
      <c r="K19" s="14" t="n">
        <v>175</v>
      </c>
      <c r="L19" s="16" t="n">
        <f aca="false">SUM(C19:K19)</f>
        <v>1456</v>
      </c>
    </row>
    <row r="20" customFormat="false" ht="15" hidden="false" customHeight="false" outlineLevel="0" collapsed="false">
      <c r="A20" s="13" t="n">
        <v>5110</v>
      </c>
      <c r="B20" s="13" t="s">
        <v>43</v>
      </c>
      <c r="C20" s="14" t="n">
        <v>341</v>
      </c>
      <c r="D20" s="14" t="n">
        <v>333</v>
      </c>
      <c r="E20" s="14" t="n">
        <v>372</v>
      </c>
      <c r="F20" s="14" t="n">
        <v>417</v>
      </c>
      <c r="G20" s="14" t="n">
        <v>479</v>
      </c>
      <c r="H20" s="14" t="n">
        <v>542</v>
      </c>
      <c r="I20" s="14" t="n">
        <v>589</v>
      </c>
      <c r="J20" s="14" t="n">
        <v>576</v>
      </c>
      <c r="K20" s="14" t="n">
        <v>495</v>
      </c>
      <c r="L20" s="16" t="n">
        <f aca="false">SUM(C20:K20)</f>
        <v>4144</v>
      </c>
    </row>
    <row r="21" customFormat="false" ht="15" hidden="false" customHeight="false" outlineLevel="0" collapsed="false">
      <c r="A21" s="13" t="n">
        <v>5120</v>
      </c>
      <c r="B21" s="13" t="s">
        <v>44</v>
      </c>
      <c r="C21" s="14" t="n">
        <v>177</v>
      </c>
      <c r="D21" s="14" t="n">
        <v>172</v>
      </c>
      <c r="E21" s="14" t="n">
        <v>184</v>
      </c>
      <c r="F21" s="14" t="n">
        <v>193</v>
      </c>
      <c r="G21" s="14" t="n">
        <v>207</v>
      </c>
      <c r="H21" s="14" t="n">
        <v>223</v>
      </c>
      <c r="I21" s="14" t="n">
        <v>234</v>
      </c>
      <c r="J21" s="14" t="n">
        <v>229</v>
      </c>
      <c r="K21" s="14" t="n">
        <v>203</v>
      </c>
      <c r="L21" s="16" t="n">
        <f aca="false">SUM(C21:K21)</f>
        <v>1822</v>
      </c>
    </row>
    <row r="22" customFormat="false" ht="15" hidden="false" customHeight="false" outlineLevel="0" collapsed="false">
      <c r="A22" s="13" t="n">
        <v>5210</v>
      </c>
      <c r="B22" s="13" t="s">
        <v>45</v>
      </c>
      <c r="C22" s="14" t="n">
        <v>32</v>
      </c>
      <c r="D22" s="14" t="n">
        <v>31</v>
      </c>
      <c r="E22" s="14" t="n">
        <v>35</v>
      </c>
      <c r="F22" s="14" t="n">
        <v>37</v>
      </c>
      <c r="G22" s="14" t="n">
        <v>42</v>
      </c>
      <c r="H22" s="14" t="n">
        <v>46</v>
      </c>
      <c r="I22" s="14" t="n">
        <v>50</v>
      </c>
      <c r="J22" s="14" t="n">
        <v>48</v>
      </c>
      <c r="K22" s="14" t="n">
        <v>41</v>
      </c>
      <c r="L22" s="16" t="n">
        <f aca="false">SUM(C22:K22)</f>
        <v>362</v>
      </c>
    </row>
    <row r="23" customFormat="false" ht="15" hidden="false" customHeight="false" outlineLevel="0" collapsed="false">
      <c r="A23" s="13" t="n">
        <v>5310</v>
      </c>
      <c r="B23" s="13" t="s">
        <v>46</v>
      </c>
      <c r="C23" s="14" t="n">
        <v>98</v>
      </c>
      <c r="D23" s="14" t="n">
        <v>96</v>
      </c>
      <c r="E23" s="14" t="n">
        <v>103</v>
      </c>
      <c r="F23" s="14" t="n">
        <v>109</v>
      </c>
      <c r="G23" s="14" t="n">
        <v>119</v>
      </c>
      <c r="H23" s="14" t="n">
        <v>130</v>
      </c>
      <c r="I23" s="14" t="n">
        <v>138</v>
      </c>
      <c r="J23" s="14" t="n">
        <v>134</v>
      </c>
      <c r="K23" s="14" t="n">
        <v>117</v>
      </c>
      <c r="L23" s="16" t="n">
        <f aca="false">SUM(C23:K23)</f>
        <v>1044</v>
      </c>
    </row>
    <row r="24" customFormat="false" ht="15" hidden="false" customHeight="false" outlineLevel="0" collapsed="false">
      <c r="B24" s="18" t="s">
        <v>47</v>
      </c>
      <c r="C24" s="19" t="n">
        <f aca="false">SUM(C17:C23)</f>
        <v>1386</v>
      </c>
      <c r="D24" s="19" t="n">
        <f aca="false">SUM(D17:D23)</f>
        <v>1353</v>
      </c>
      <c r="E24" s="19" t="n">
        <f aca="false">SUM(E17:E23)</f>
        <v>1481</v>
      </c>
      <c r="F24" s="19" t="n">
        <f aca="false">SUM(F17:F23)</f>
        <v>1594</v>
      </c>
      <c r="G24" s="19" t="n">
        <f aca="false">SUM(G17:G23)</f>
        <v>1786</v>
      </c>
      <c r="H24" s="19" t="n">
        <f aca="false">SUM(H17:H23)</f>
        <v>2005</v>
      </c>
      <c r="I24" s="19" t="n">
        <f aca="false">SUM(I17:I23)</f>
        <v>2165</v>
      </c>
      <c r="J24" s="19" t="n">
        <f aca="false">SUM(J17:J23)</f>
        <v>2128</v>
      </c>
      <c r="K24" s="19" t="n">
        <f aca="false">SUM(K17:K23)</f>
        <v>1865</v>
      </c>
      <c r="L24" s="19" t="n">
        <f aca="false">SUM(L17:L23)</f>
        <v>15763</v>
      </c>
    </row>
    <row r="25" customFormat="false" ht="15" hidden="false" customHeight="false" outlineLevel="0" collapsed="false">
      <c r="B25" s="18" t="s">
        <v>48</v>
      </c>
      <c r="C25" s="19" t="n">
        <f aca="false">C14-C24</f>
        <v>1370</v>
      </c>
      <c r="D25" s="19" t="n">
        <f aca="false">D14-D24</f>
        <v>1338</v>
      </c>
      <c r="E25" s="19" t="n">
        <f aca="false">E14-E24</f>
        <v>1430</v>
      </c>
      <c r="F25" s="19" t="n">
        <f aca="false">F14-F24</f>
        <v>1475</v>
      </c>
      <c r="G25" s="19" t="n">
        <f aca="false">G14-G24</f>
        <v>1565</v>
      </c>
      <c r="H25" s="19" t="n">
        <f aca="false">H14-H24</f>
        <v>1660</v>
      </c>
      <c r="I25" s="19" t="n">
        <f aca="false">I14-I24</f>
        <v>1715</v>
      </c>
      <c r="J25" s="19" t="n">
        <f aca="false">J14-J24</f>
        <v>1647</v>
      </c>
      <c r="K25" s="19" t="n">
        <f aca="false">K14-K24</f>
        <v>1433</v>
      </c>
      <c r="L25" s="19" t="n">
        <f aca="false">L14-L24</f>
        <v>13633</v>
      </c>
    </row>
    <row r="26" customFormat="false" ht="15" hidden="false" customHeight="false" outlineLevel="0" collapsed="false">
      <c r="B26" s="18" t="s">
        <v>168</v>
      </c>
      <c r="C26" s="22" t="n">
        <f aca="false">IF(C14=0,0,C25/C14)</f>
        <v>0.497097242380261</v>
      </c>
      <c r="D26" s="22" t="n">
        <f aca="false">IF(D14=0,0,D25/D14)</f>
        <v>0.497212931995541</v>
      </c>
      <c r="E26" s="22" t="n">
        <f aca="false">IF(E14=0,0,E25/E14)</f>
        <v>0.491240123668842</v>
      </c>
      <c r="F26" s="22" t="n">
        <f aca="false">IF(F14=0,0,F25/F14)</f>
        <v>0.480612577386771</v>
      </c>
      <c r="G26" s="22" t="n">
        <f aca="false">IF(G14=0,0,G25/G14)</f>
        <v>0.467024768725754</v>
      </c>
      <c r="H26" s="22" t="n">
        <f aca="false">IF(H14=0,0,H25/H14)</f>
        <v>0.452933151432469</v>
      </c>
      <c r="I26" s="22" t="n">
        <f aca="false">IF(I14=0,0,I25/I14)</f>
        <v>0.442010309278351</v>
      </c>
      <c r="J26" s="22" t="n">
        <f aca="false">IF(J14=0,0,J25/J14)</f>
        <v>0.436291390728477</v>
      </c>
      <c r="K26" s="22" t="n">
        <f aca="false">IF(K14=0,0,K25/K14)</f>
        <v>0.434505761067314</v>
      </c>
      <c r="L26" s="22" t="n">
        <f aca="false">IF(L14=0,0,L25/L14)</f>
        <v>0.463770581031433</v>
      </c>
    </row>
    <row r="28" customFormat="false" ht="15" hidden="false" customHeight="false" outlineLevel="0" collapsed="false">
      <c r="B28" s="18" t="s">
        <v>169</v>
      </c>
    </row>
    <row r="29" customFormat="false" ht="15" hidden="false" customHeight="false" outlineLevel="0" collapsed="false">
      <c r="A29" s="13" t="n">
        <v>6010</v>
      </c>
      <c r="B29" s="13" t="s">
        <v>51</v>
      </c>
      <c r="C29" s="14" t="n">
        <v>212</v>
      </c>
      <c r="D29" s="14" t="n">
        <v>212</v>
      </c>
      <c r="E29" s="14" t="n">
        <v>212</v>
      </c>
      <c r="F29" s="14" t="n">
        <v>212</v>
      </c>
      <c r="G29" s="14" t="n">
        <v>212</v>
      </c>
      <c r="H29" s="14" t="n">
        <v>212</v>
      </c>
      <c r="I29" s="14" t="n">
        <v>212</v>
      </c>
      <c r="J29" s="14" t="n">
        <v>212</v>
      </c>
      <c r="K29" s="14" t="n">
        <v>212</v>
      </c>
      <c r="L29" s="16" t="n">
        <f aca="false">SUM(C29:K29)</f>
        <v>1908</v>
      </c>
    </row>
    <row r="30" customFormat="false" ht="15" hidden="false" customHeight="false" outlineLevel="0" collapsed="false">
      <c r="A30" s="13" t="n">
        <v>6020</v>
      </c>
      <c r="B30" s="13" t="s">
        <v>52</v>
      </c>
      <c r="C30" s="14" t="n">
        <v>160</v>
      </c>
      <c r="D30" s="14" t="n">
        <v>160</v>
      </c>
      <c r="E30" s="14" t="n">
        <v>160</v>
      </c>
      <c r="F30" s="14" t="n">
        <v>160</v>
      </c>
      <c r="G30" s="14" t="n">
        <v>160</v>
      </c>
      <c r="H30" s="14" t="n">
        <v>160</v>
      </c>
      <c r="I30" s="14" t="n">
        <v>160</v>
      </c>
      <c r="J30" s="14" t="n">
        <v>160</v>
      </c>
      <c r="K30" s="14" t="n">
        <v>160</v>
      </c>
      <c r="L30" s="16" t="n">
        <f aca="false">SUM(C30:K30)</f>
        <v>1440</v>
      </c>
    </row>
    <row r="31" customFormat="false" ht="15" hidden="false" customHeight="false" outlineLevel="0" collapsed="false">
      <c r="A31" s="13" t="n">
        <v>6030</v>
      </c>
      <c r="B31" s="13" t="s">
        <v>53</v>
      </c>
      <c r="C31" s="14" t="n">
        <v>74</v>
      </c>
      <c r="D31" s="14" t="n">
        <v>74</v>
      </c>
      <c r="E31" s="14" t="n">
        <v>74</v>
      </c>
      <c r="F31" s="14" t="n">
        <v>74</v>
      </c>
      <c r="G31" s="14" t="n">
        <v>74</v>
      </c>
      <c r="H31" s="14" t="n">
        <v>74</v>
      </c>
      <c r="I31" s="14" t="n">
        <v>74</v>
      </c>
      <c r="J31" s="14" t="n">
        <v>74</v>
      </c>
      <c r="K31" s="14" t="n">
        <v>74</v>
      </c>
      <c r="L31" s="16" t="n">
        <f aca="false">SUM(C31:K31)</f>
        <v>666</v>
      </c>
    </row>
    <row r="32" customFormat="false" ht="15" hidden="false" customHeight="false" outlineLevel="0" collapsed="false">
      <c r="A32" s="13" t="n">
        <v>6110</v>
      </c>
      <c r="B32" s="13" t="s">
        <v>54</v>
      </c>
      <c r="C32" s="14" t="n">
        <v>162</v>
      </c>
      <c r="D32" s="14" t="n">
        <v>159</v>
      </c>
      <c r="E32" s="14" t="n">
        <v>172</v>
      </c>
      <c r="F32" s="14" t="n">
        <v>181</v>
      </c>
      <c r="G32" s="14" t="n">
        <v>197</v>
      </c>
      <c r="H32" s="14" t="n">
        <v>216</v>
      </c>
      <c r="I32" s="14" t="n">
        <v>229</v>
      </c>
      <c r="J32" s="14" t="n">
        <v>223</v>
      </c>
      <c r="K32" s="14" t="n">
        <v>194</v>
      </c>
      <c r="L32" s="16" t="n">
        <f aca="false">SUM(C32:K32)</f>
        <v>1733</v>
      </c>
    </row>
    <row r="33" customFormat="false" ht="15" hidden="false" customHeight="false" outlineLevel="0" collapsed="false">
      <c r="A33" s="13" t="n">
        <v>6120</v>
      </c>
      <c r="B33" s="13" t="s">
        <v>55</v>
      </c>
      <c r="C33" s="14" t="n">
        <v>48</v>
      </c>
      <c r="D33" s="14" t="n">
        <v>48</v>
      </c>
      <c r="E33" s="14" t="n">
        <v>48</v>
      </c>
      <c r="F33" s="14" t="n">
        <v>48</v>
      </c>
      <c r="G33" s="14" t="n">
        <v>48</v>
      </c>
      <c r="H33" s="14" t="n">
        <v>48</v>
      </c>
      <c r="I33" s="14" t="n">
        <v>48</v>
      </c>
      <c r="J33" s="14" t="n">
        <v>48</v>
      </c>
      <c r="K33" s="14" t="n">
        <v>48</v>
      </c>
      <c r="L33" s="16" t="n">
        <f aca="false">SUM(C33:K33)</f>
        <v>432</v>
      </c>
    </row>
    <row r="34" customFormat="false" ht="15" hidden="false" customHeight="false" outlineLevel="0" collapsed="false">
      <c r="A34" s="13" t="n">
        <v>6210</v>
      </c>
      <c r="B34" s="13" t="s">
        <v>56</v>
      </c>
      <c r="C34" s="14" t="n">
        <v>62</v>
      </c>
      <c r="D34" s="14" t="n">
        <v>62</v>
      </c>
      <c r="E34" s="14" t="n">
        <v>62</v>
      </c>
      <c r="F34" s="14" t="n">
        <v>62</v>
      </c>
      <c r="G34" s="14" t="n">
        <v>62</v>
      </c>
      <c r="H34" s="14" t="n">
        <v>62</v>
      </c>
      <c r="I34" s="14" t="n">
        <v>62</v>
      </c>
      <c r="J34" s="14" t="n">
        <v>62</v>
      </c>
      <c r="K34" s="14" t="n">
        <v>62</v>
      </c>
      <c r="L34" s="16" t="n">
        <f aca="false">SUM(C34:K34)</f>
        <v>558</v>
      </c>
    </row>
    <row r="35" customFormat="false" ht="15" hidden="false" customHeight="false" outlineLevel="0" collapsed="false">
      <c r="A35" s="13" t="n">
        <v>6220</v>
      </c>
      <c r="B35" s="13" t="s">
        <v>57</v>
      </c>
      <c r="C35" s="14" t="n">
        <v>14</v>
      </c>
      <c r="D35" s="14" t="n">
        <v>14</v>
      </c>
      <c r="E35" s="14" t="n">
        <v>14</v>
      </c>
      <c r="F35" s="14" t="n">
        <v>14</v>
      </c>
      <c r="G35" s="14" t="n">
        <v>14</v>
      </c>
      <c r="H35" s="14" t="n">
        <v>14</v>
      </c>
      <c r="I35" s="14" t="n">
        <v>14</v>
      </c>
      <c r="J35" s="14" t="n">
        <v>14</v>
      </c>
      <c r="K35" s="14" t="n">
        <v>14</v>
      </c>
      <c r="L35" s="16" t="n">
        <f aca="false">SUM(C35:K35)</f>
        <v>126</v>
      </c>
    </row>
    <row r="36" customFormat="false" ht="15" hidden="false" customHeight="false" outlineLevel="0" collapsed="false">
      <c r="A36" s="13" t="n">
        <v>6310</v>
      </c>
      <c r="B36" s="13" t="s">
        <v>58</v>
      </c>
      <c r="C36" s="14" t="n">
        <v>41</v>
      </c>
      <c r="D36" s="14" t="n">
        <v>41</v>
      </c>
      <c r="E36" s="14" t="n">
        <v>41</v>
      </c>
      <c r="F36" s="14" t="n">
        <v>41</v>
      </c>
      <c r="G36" s="14" t="n">
        <v>41</v>
      </c>
      <c r="H36" s="14" t="n">
        <v>41</v>
      </c>
      <c r="I36" s="14" t="n">
        <v>41</v>
      </c>
      <c r="J36" s="14" t="n">
        <v>41</v>
      </c>
      <c r="K36" s="14" t="n">
        <v>41</v>
      </c>
      <c r="L36" s="16" t="n">
        <f aca="false">SUM(C36:K36)</f>
        <v>369</v>
      </c>
    </row>
    <row r="37" customFormat="false" ht="15" hidden="false" customHeight="false" outlineLevel="0" collapsed="false">
      <c r="A37" s="13" t="n">
        <v>6410</v>
      </c>
      <c r="B37" s="13" t="s">
        <v>59</v>
      </c>
      <c r="C37" s="14" t="n">
        <v>22</v>
      </c>
      <c r="D37" s="14" t="n">
        <v>22</v>
      </c>
      <c r="E37" s="14" t="n">
        <v>22</v>
      </c>
      <c r="F37" s="14" t="n">
        <v>22</v>
      </c>
      <c r="G37" s="14" t="n">
        <v>22</v>
      </c>
      <c r="H37" s="14" t="n">
        <v>22</v>
      </c>
      <c r="I37" s="14" t="n">
        <v>22</v>
      </c>
      <c r="J37" s="14" t="n">
        <v>22</v>
      </c>
      <c r="K37" s="14" t="n">
        <v>22</v>
      </c>
      <c r="L37" s="16" t="n">
        <f aca="false">SUM(C37:K37)</f>
        <v>198</v>
      </c>
    </row>
    <row r="38" customFormat="false" ht="15" hidden="false" customHeight="false" outlineLevel="0" collapsed="false">
      <c r="A38" s="13" t="n">
        <v>6420</v>
      </c>
      <c r="B38" s="13" t="s">
        <v>60</v>
      </c>
      <c r="C38" s="14" t="n">
        <v>50</v>
      </c>
      <c r="D38" s="14" t="n">
        <v>50</v>
      </c>
      <c r="E38" s="14" t="n">
        <v>50</v>
      </c>
      <c r="F38" s="14" t="n">
        <v>50</v>
      </c>
      <c r="G38" s="14" t="n">
        <v>50</v>
      </c>
      <c r="H38" s="14" t="n">
        <v>50</v>
      </c>
      <c r="I38" s="14" t="n">
        <v>50</v>
      </c>
      <c r="J38" s="14" t="n">
        <v>50</v>
      </c>
      <c r="K38" s="14" t="n">
        <v>50</v>
      </c>
      <c r="L38" s="16" t="n">
        <f aca="false">SUM(C38:K38)</f>
        <v>450</v>
      </c>
    </row>
    <row r="39" customFormat="false" ht="15" hidden="false" customHeight="false" outlineLevel="0" collapsed="false">
      <c r="A39" s="13" t="n">
        <v>6510</v>
      </c>
      <c r="B39" s="13" t="s">
        <v>61</v>
      </c>
      <c r="C39" s="14" t="n">
        <v>16</v>
      </c>
      <c r="D39" s="14" t="n">
        <v>16</v>
      </c>
      <c r="E39" s="14" t="n">
        <v>16</v>
      </c>
      <c r="F39" s="14" t="n">
        <v>16</v>
      </c>
      <c r="G39" s="14" t="n">
        <v>16</v>
      </c>
      <c r="H39" s="14" t="n">
        <v>24</v>
      </c>
      <c r="I39" s="14" t="n">
        <v>24</v>
      </c>
      <c r="J39" s="14" t="n">
        <v>24</v>
      </c>
      <c r="K39" s="14" t="n">
        <v>24</v>
      </c>
      <c r="L39" s="16" t="n">
        <f aca="false">SUM(C39:K39)</f>
        <v>176</v>
      </c>
    </row>
    <row r="40" customFormat="false" ht="15" hidden="false" customHeight="false" outlineLevel="0" collapsed="false">
      <c r="A40" s="13" t="n">
        <v>6900</v>
      </c>
      <c r="B40" s="13" t="s">
        <v>62</v>
      </c>
      <c r="C40" s="14" t="n">
        <v>30</v>
      </c>
      <c r="D40" s="14" t="n">
        <v>30</v>
      </c>
      <c r="E40" s="14" t="n">
        <v>30</v>
      </c>
      <c r="F40" s="14" t="n">
        <v>30</v>
      </c>
      <c r="G40" s="14" t="n">
        <v>30</v>
      </c>
      <c r="H40" s="14" t="n">
        <v>30</v>
      </c>
      <c r="I40" s="14" t="n">
        <v>30</v>
      </c>
      <c r="J40" s="14" t="n">
        <v>30</v>
      </c>
      <c r="K40" s="14" t="n">
        <v>30</v>
      </c>
      <c r="L40" s="16" t="n">
        <f aca="false">SUM(C40:K40)</f>
        <v>270</v>
      </c>
    </row>
    <row r="41" customFormat="false" ht="15" hidden="false" customHeight="false" outlineLevel="0" collapsed="false">
      <c r="B41" s="18" t="s">
        <v>63</v>
      </c>
      <c r="C41" s="19" t="n">
        <f aca="false">SUM(C29:C40)</f>
        <v>891</v>
      </c>
      <c r="D41" s="19" t="n">
        <f aca="false">SUM(D29:D40)</f>
        <v>888</v>
      </c>
      <c r="E41" s="19" t="n">
        <f aca="false">SUM(E29:E40)</f>
        <v>901</v>
      </c>
      <c r="F41" s="19" t="n">
        <f aca="false">SUM(F29:F40)</f>
        <v>910</v>
      </c>
      <c r="G41" s="19" t="n">
        <f aca="false">SUM(G29:G40)</f>
        <v>926</v>
      </c>
      <c r="H41" s="19" t="n">
        <f aca="false">SUM(H29:H40)</f>
        <v>953</v>
      </c>
      <c r="I41" s="19" t="n">
        <f aca="false">SUM(I29:I40)</f>
        <v>966</v>
      </c>
      <c r="J41" s="19" t="n">
        <f aca="false">SUM(J29:J40)</f>
        <v>960</v>
      </c>
      <c r="K41" s="19" t="n">
        <f aca="false">SUM(K29:K40)</f>
        <v>931</v>
      </c>
      <c r="L41" s="19" t="n">
        <f aca="false">SUM(L29:L40)</f>
        <v>8326</v>
      </c>
    </row>
    <row r="42" customFormat="false" ht="15" hidden="false" customHeight="false" outlineLevel="0" collapsed="false">
      <c r="B42" s="18" t="s">
        <v>64</v>
      </c>
      <c r="C42" s="19" t="n">
        <f aca="false">C25-C41</f>
        <v>479</v>
      </c>
      <c r="D42" s="19" t="n">
        <f aca="false">D25-D41</f>
        <v>450</v>
      </c>
      <c r="E42" s="19" t="n">
        <f aca="false">E25-E41</f>
        <v>529</v>
      </c>
      <c r="F42" s="19" t="n">
        <f aca="false">F25-F41</f>
        <v>565</v>
      </c>
      <c r="G42" s="19" t="n">
        <f aca="false">G25-G41</f>
        <v>639</v>
      </c>
      <c r="H42" s="19" t="n">
        <f aca="false">H25-H41</f>
        <v>707</v>
      </c>
      <c r="I42" s="19" t="n">
        <f aca="false">I25-I41</f>
        <v>749</v>
      </c>
      <c r="J42" s="19" t="n">
        <f aca="false">J25-J41</f>
        <v>687</v>
      </c>
      <c r="K42" s="19" t="n">
        <f aca="false">K25-K41</f>
        <v>502</v>
      </c>
      <c r="L42" s="19" t="n">
        <f aca="false">L25-L41</f>
        <v>5307</v>
      </c>
    </row>
    <row r="43" customFormat="false" ht="15" hidden="false" customHeight="false" outlineLevel="0" collapsed="false">
      <c r="B43" s="18" t="s">
        <v>170</v>
      </c>
      <c r="C43" s="22" t="n">
        <f aca="false">IF(C14=0,0,C42/C14)</f>
        <v>0.173802612481858</v>
      </c>
      <c r="D43" s="22" t="n">
        <f aca="false">IF(D14=0,0,D42/D14)</f>
        <v>0.167224080267559</v>
      </c>
      <c r="E43" s="22" t="n">
        <f aca="false">IF(E14=0,0,E42/E14)</f>
        <v>0.181724493301271</v>
      </c>
      <c r="F43" s="22" t="n">
        <f aca="false">IF(F14=0,0,F42/F14)</f>
        <v>0.184099055066797</v>
      </c>
      <c r="G43" s="22" t="n">
        <f aca="false">IF(G14=0,0,G42/G14)</f>
        <v>0.190689346463742</v>
      </c>
      <c r="H43" s="22" t="n">
        <f aca="false">IF(H14=0,0,H42/H14)</f>
        <v>0.192905866302865</v>
      </c>
      <c r="I43" s="22" t="n">
        <f aca="false">IF(I14=0,0,I42/I14)</f>
        <v>0.193041237113402</v>
      </c>
      <c r="J43" s="22" t="n">
        <f aca="false">IF(J14=0,0,J42/J14)</f>
        <v>0.181986754966887</v>
      </c>
      <c r="K43" s="22" t="n">
        <f aca="false">IF(K14=0,0,K42/K14)</f>
        <v>0.152213462704669</v>
      </c>
      <c r="L43" s="22" t="n">
        <f aca="false">IF(L14=0,0,L42/L14)</f>
        <v>0.180534766634916</v>
      </c>
    </row>
    <row r="45" customFormat="false" ht="15" hidden="false" customHeight="false" outlineLevel="0" collapsed="false">
      <c r="B45" s="18" t="s">
        <v>171</v>
      </c>
    </row>
    <row r="46" customFormat="false" ht="15" hidden="false" customHeight="false" outlineLevel="0" collapsed="false">
      <c r="A46" s="13" t="n">
        <v>7010</v>
      </c>
      <c r="B46" s="13" t="s">
        <v>67</v>
      </c>
      <c r="C46" s="14" t="n">
        <v>38</v>
      </c>
      <c r="D46" s="14" t="n">
        <v>38</v>
      </c>
      <c r="E46" s="14" t="n">
        <v>38</v>
      </c>
      <c r="F46" s="14" t="n">
        <v>38</v>
      </c>
      <c r="G46" s="14" t="n">
        <v>38</v>
      </c>
      <c r="H46" s="14" t="n">
        <v>38</v>
      </c>
      <c r="I46" s="14" t="n">
        <v>38</v>
      </c>
      <c r="J46" s="14" t="n">
        <v>38</v>
      </c>
      <c r="K46" s="14" t="n">
        <v>38</v>
      </c>
      <c r="L46" s="16" t="n">
        <f aca="false">SUM(C46:K46)</f>
        <v>342</v>
      </c>
    </row>
    <row r="47" customFormat="false" ht="15" hidden="false" customHeight="false" outlineLevel="0" collapsed="false">
      <c r="A47" s="13" t="n">
        <v>7020</v>
      </c>
      <c r="B47" s="13" t="s">
        <v>68</v>
      </c>
      <c r="C47" s="14" t="n">
        <v>55</v>
      </c>
      <c r="D47" s="14" t="n">
        <v>55</v>
      </c>
      <c r="E47" s="14" t="n">
        <v>55</v>
      </c>
      <c r="F47" s="14" t="n">
        <v>55</v>
      </c>
      <c r="G47" s="14" t="n">
        <v>55</v>
      </c>
      <c r="H47" s="14" t="n">
        <v>55</v>
      </c>
      <c r="I47" s="14" t="n">
        <v>55</v>
      </c>
      <c r="J47" s="14" t="n">
        <v>55</v>
      </c>
      <c r="K47" s="14" t="n">
        <v>55</v>
      </c>
      <c r="L47" s="16" t="n">
        <f aca="false">SUM(C47:K47)</f>
        <v>495</v>
      </c>
    </row>
    <row r="48" customFormat="false" ht="15" hidden="false" customHeight="false" outlineLevel="0" collapsed="false">
      <c r="A48" s="13" t="n">
        <v>7110</v>
      </c>
      <c r="B48" s="13" t="s">
        <v>69</v>
      </c>
      <c r="C48" s="14" t="n">
        <v>165</v>
      </c>
      <c r="D48" s="14" t="n">
        <v>165</v>
      </c>
      <c r="E48" s="14" t="n">
        <v>165</v>
      </c>
      <c r="F48" s="14" t="n">
        <v>165</v>
      </c>
      <c r="G48" s="14" t="n">
        <v>165</v>
      </c>
      <c r="H48" s="14" t="n">
        <v>165</v>
      </c>
      <c r="I48" s="14" t="n">
        <v>165</v>
      </c>
      <c r="J48" s="14" t="n">
        <v>165</v>
      </c>
      <c r="K48" s="14" t="n">
        <v>165</v>
      </c>
      <c r="L48" s="16" t="n">
        <f aca="false">SUM(C48:K48)</f>
        <v>1485</v>
      </c>
    </row>
    <row r="49" customFormat="false" ht="15" hidden="false" customHeight="false" outlineLevel="0" collapsed="false">
      <c r="A49" s="13" t="n">
        <v>7310</v>
      </c>
      <c r="B49" s="13" t="s">
        <v>70</v>
      </c>
      <c r="C49" s="14" t="n">
        <v>55</v>
      </c>
      <c r="D49" s="14" t="n">
        <v>48</v>
      </c>
      <c r="E49" s="14" t="n">
        <v>68</v>
      </c>
      <c r="F49" s="14" t="n">
        <v>77</v>
      </c>
      <c r="G49" s="14" t="n">
        <v>95</v>
      </c>
      <c r="H49" s="14" t="n">
        <v>112</v>
      </c>
      <c r="I49" s="14" t="n">
        <v>123</v>
      </c>
      <c r="J49" s="14" t="n">
        <v>107</v>
      </c>
      <c r="K49" s="14" t="n">
        <v>61</v>
      </c>
      <c r="L49" s="16" t="n">
        <f aca="false">SUM(C49:K49)</f>
        <v>746</v>
      </c>
    </row>
    <row r="50" customFormat="false" ht="15" hidden="false" customHeight="false" outlineLevel="0" collapsed="false">
      <c r="B50" s="18" t="s">
        <v>71</v>
      </c>
      <c r="C50" s="19" t="n">
        <f aca="false">C42-SUM(C46:C49)</f>
        <v>166</v>
      </c>
      <c r="D50" s="19" t="n">
        <f aca="false">D42-SUM(D46:D49)</f>
        <v>144</v>
      </c>
      <c r="E50" s="19" t="n">
        <f aca="false">E42-SUM(E46:E49)</f>
        <v>203</v>
      </c>
      <c r="F50" s="19" t="n">
        <f aca="false">F42-SUM(F46:F49)</f>
        <v>230</v>
      </c>
      <c r="G50" s="19" t="n">
        <f aca="false">G42-SUM(G46:G49)</f>
        <v>286</v>
      </c>
      <c r="H50" s="19" t="n">
        <f aca="false">H42-SUM(H46:H49)</f>
        <v>337</v>
      </c>
      <c r="I50" s="19" t="n">
        <f aca="false">I42-SUM(I46:I49)</f>
        <v>368</v>
      </c>
      <c r="J50" s="19" t="n">
        <f aca="false">J42-SUM(J46:J49)</f>
        <v>322</v>
      </c>
      <c r="K50" s="19" t="n">
        <f aca="false">K42-SUM(K46:K49)</f>
        <v>183</v>
      </c>
      <c r="L50" s="19" t="n">
        <f aca="false">L42-SUM(L46:L49)</f>
        <v>2239</v>
      </c>
    </row>
  </sheetData>
  <mergeCells count="4">
    <mergeCell ref="A1:L1"/>
    <mergeCell ref="A2:L2"/>
    <mergeCell ref="A3:L3"/>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2026-10-20T03:08:00Z</dcterms:created>
  <dc:creator>openpyxl</dc:creator>
  <dc:description/>
  <dc:language>en-US</dc:language>
  <cp:lastModifiedBy/>
  <dcterms:modified xsi:type="dcterms:W3CDTF">2026-10-20T03:08:00Z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